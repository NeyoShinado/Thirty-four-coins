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4000" windowHeight="9765"/>
  </bookViews>
  <sheets>
    <sheet name="时间管理" sheetId="2" r:id="rId1"/>
    <sheet name="Sheet1" sheetId="3" r:id="rId2"/>
  </sheets>
  <definedNames>
    <definedName name="AA">GET.CELL(63,时间管理!A1)&amp;T(NOW())</definedName>
  </definedNames>
  <calcPr calcId="144525"/>
</workbook>
</file>

<file path=xl/sharedStrings.xml><?xml version="1.0" encoding="utf-8"?>
<sst xmlns="http://schemas.openxmlformats.org/spreadsheetml/2006/main" count="503" uniqueCount="54">
  <si>
    <t>拖延</t>
  </si>
  <si>
    <t>强迫</t>
  </si>
  <si>
    <t>高效</t>
  </si>
  <si>
    <t>娱乐</t>
  </si>
  <si>
    <t>休息</t>
  </si>
  <si>
    <t>时间块</t>
  </si>
  <si>
    <t>第1周</t>
  </si>
  <si>
    <t>本周小结</t>
  </si>
  <si>
    <t>第2周</t>
  </si>
  <si>
    <t>第3周</t>
  </si>
  <si>
    <t>第4周</t>
  </si>
  <si>
    <t>第5周</t>
  </si>
  <si>
    <t>时间都去哪了（全月）</t>
  </si>
  <si>
    <t>7:00-7:30</t>
  </si>
  <si>
    <t>7:30-8:00</t>
  </si>
  <si>
    <t>关键词</t>
  </si>
  <si>
    <t>8:00-8:30</t>
  </si>
  <si>
    <t>8:30-9:00</t>
  </si>
  <si>
    <t>9:00-9:30</t>
  </si>
  <si>
    <t>9:30-10:00</t>
  </si>
  <si>
    <t>思考的问题</t>
  </si>
  <si>
    <t>10:00-10:30</t>
  </si>
  <si>
    <t>10:30-11:00</t>
  </si>
  <si>
    <t>11:00-11:30</t>
  </si>
  <si>
    <t>11:30-12:00</t>
  </si>
  <si>
    <t>12:00-12:30</t>
  </si>
  <si>
    <t>12:30-13:00</t>
  </si>
  <si>
    <t>13:00-13:30</t>
  </si>
  <si>
    <t>13:30-14:00</t>
  </si>
  <si>
    <t>14:00-14:30</t>
  </si>
  <si>
    <t>14:30-15:00</t>
  </si>
  <si>
    <t>15:00-15:30</t>
  </si>
  <si>
    <t>15:30-16:00</t>
  </si>
  <si>
    <t>观看的视频/读书</t>
  </si>
  <si>
    <t>16:00-16:30</t>
  </si>
  <si>
    <t>16:30-17:00</t>
  </si>
  <si>
    <t>17:00-17:30</t>
  </si>
  <si>
    <t>17:30-18:00</t>
  </si>
  <si>
    <t>18:00-18:30</t>
  </si>
  <si>
    <t>18:30-19:00</t>
  </si>
  <si>
    <t>对自己说</t>
  </si>
  <si>
    <t>19:00-19:30</t>
  </si>
  <si>
    <t>19:30-20:00</t>
  </si>
  <si>
    <t>20:00-20:30</t>
  </si>
  <si>
    <t>20:30-21:00</t>
  </si>
  <si>
    <t>21:00-21:30</t>
  </si>
  <si>
    <t>21:30-22:00</t>
  </si>
  <si>
    <t>22:00-22:30</t>
  </si>
  <si>
    <t>赢得奖励的时间</t>
  </si>
  <si>
    <t>22:30-23:00</t>
  </si>
  <si>
    <t>23:00-23:30</t>
  </si>
  <si>
    <t>23:30-24:00</t>
  </si>
  <si>
    <t>浪费</t>
  </si>
  <si>
    <t>s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</si>
</sst>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m&quot;月&quot;d&quot;日&quot;;@"/>
    <numFmt numFmtId="177" formatCode="h:mm;@"/>
  </numFmts>
  <fonts count="25">
    <font>
      <sz val="11"/>
      <color theme="1"/>
      <name val="微软雅黑"/>
      <charset val="134"/>
    </font>
    <font>
      <b/>
      <sz val="11"/>
      <color theme="1"/>
      <name val="微软雅黑"/>
      <charset val="134"/>
    </font>
    <font>
      <b/>
      <sz val="16"/>
      <color theme="1"/>
      <name val="微软雅黑"/>
      <charset val="134"/>
    </font>
    <font>
      <b/>
      <sz val="22"/>
      <color rgb="FF00B0F0"/>
      <name val="微软雅黑"/>
      <charset val="134"/>
    </font>
    <font>
      <sz val="11"/>
      <name val="微软雅黑"/>
      <charset val="134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>
      <alignment vertical="center"/>
    </xf>
    <xf numFmtId="42" fontId="9" fillId="0" borderId="0" applyFont="0" applyFill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21" fillId="19" borderId="7" applyNumberFormat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43" fontId="9" fillId="0" borderId="0" applyFont="0" applyFill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9" fillId="15" borderId="4" applyNumberFormat="0" applyFont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5" fillId="14" borderId="3" applyNumberFormat="0" applyAlignment="0" applyProtection="0">
      <alignment vertical="center"/>
    </xf>
    <xf numFmtId="0" fontId="23" fillId="14" borderId="7" applyNumberFormat="0" applyAlignment="0" applyProtection="0">
      <alignment vertical="center"/>
    </xf>
    <xf numFmtId="0" fontId="6" fillId="10" borderId="1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177" fontId="0" fillId="0" borderId="0" xfId="0" applyNumberFormat="1">
      <alignment vertical="center"/>
    </xf>
    <xf numFmtId="177" fontId="1" fillId="0" borderId="0" xfId="49" applyNumberFormat="1" applyFill="1">
      <alignment vertical="center"/>
    </xf>
    <xf numFmtId="177" fontId="0" fillId="2" borderId="0" xfId="0" applyNumberFormat="1" applyFill="1">
      <alignment vertical="center"/>
    </xf>
    <xf numFmtId="177" fontId="0" fillId="3" borderId="0" xfId="0" applyNumberFormat="1" applyFill="1">
      <alignment vertical="center"/>
    </xf>
    <xf numFmtId="177" fontId="0" fillId="4" borderId="0" xfId="0" applyNumberFormat="1" applyFill="1">
      <alignment vertical="center"/>
    </xf>
    <xf numFmtId="177" fontId="0" fillId="5" borderId="0" xfId="0" applyNumberFormat="1" applyFill="1">
      <alignment vertical="center"/>
    </xf>
    <xf numFmtId="177" fontId="0" fillId="6" borderId="0" xfId="0" applyNumberFormat="1" applyFill="1">
      <alignment vertical="center"/>
    </xf>
    <xf numFmtId="177" fontId="0" fillId="7" borderId="0" xfId="0" applyNumberFormat="1" applyFill="1" applyAlignment="1">
      <alignment horizontal="center" vertical="center"/>
    </xf>
    <xf numFmtId="0" fontId="2" fillId="0" borderId="0" xfId="49" applyFont="1" applyAlignment="1">
      <alignment horizontal="center" vertical="center"/>
    </xf>
    <xf numFmtId="176" fontId="0" fillId="7" borderId="0" xfId="0" applyNumberFormat="1" applyFill="1" applyAlignment="1">
      <alignment horizontal="center" vertical="center"/>
    </xf>
    <xf numFmtId="177" fontId="0" fillId="7" borderId="0" xfId="0" applyNumberFormat="1" applyFill="1">
      <alignment vertical="center"/>
    </xf>
    <xf numFmtId="0" fontId="0" fillId="0" borderId="0" xfId="0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76" fontId="0" fillId="7" borderId="0" xfId="0" applyNumberFormat="1" applyFill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77" fontId="0" fillId="0" borderId="0" xfId="0" applyNumberFormat="1" applyAlignment="1">
      <alignment horizontal="left" vertical="top"/>
    </xf>
    <xf numFmtId="177" fontId="0" fillId="2" borderId="0" xfId="0" applyNumberFormat="1" applyFill="1" applyAlignment="1">
      <alignment horizontal="left" vertical="top"/>
    </xf>
    <xf numFmtId="177" fontId="0" fillId="3" borderId="0" xfId="0" applyNumberFormat="1" applyFill="1" applyAlignment="1">
      <alignment horizontal="left" vertical="top"/>
    </xf>
    <xf numFmtId="177" fontId="0" fillId="4" borderId="0" xfId="0" applyNumberFormat="1" applyFill="1" applyAlignment="1">
      <alignment horizontal="left" vertical="top"/>
    </xf>
    <xf numFmtId="177" fontId="0" fillId="5" borderId="0" xfId="0" applyNumberFormat="1" applyFill="1" applyAlignment="1">
      <alignment horizontal="left" vertical="top"/>
    </xf>
    <xf numFmtId="177" fontId="0" fillId="6" borderId="0" xfId="0" applyNumberFormat="1" applyFill="1" applyAlignment="1">
      <alignment horizontal="left" vertical="top"/>
    </xf>
    <xf numFmtId="177" fontId="0" fillId="7" borderId="0" xfId="0" applyNumberFormat="1" applyFill="1" applyAlignment="1">
      <alignment horizontal="left" vertical="top"/>
    </xf>
    <xf numFmtId="0" fontId="4" fillId="0" borderId="0" xfId="0" applyFont="1" applyFill="1" applyAlignment="1">
      <alignment horizontal="center" vertical="center"/>
    </xf>
    <xf numFmtId="177" fontId="0" fillId="2" borderId="0" xfId="0" applyNumberFormat="1" applyFill="1" applyAlignment="1">
      <alignment horizontal="center" vertical="top"/>
    </xf>
    <xf numFmtId="177" fontId="0" fillId="3" borderId="0" xfId="0" applyNumberFormat="1" applyFill="1" applyAlignment="1">
      <alignment horizontal="center" vertical="top"/>
    </xf>
    <xf numFmtId="177" fontId="0" fillId="4" borderId="0" xfId="0" applyNumberFormat="1" applyFill="1" applyAlignment="1">
      <alignment horizontal="center" vertical="top"/>
    </xf>
    <xf numFmtId="177" fontId="0" fillId="5" borderId="0" xfId="0" applyNumberFormat="1" applyFill="1" applyAlignment="1">
      <alignment horizontal="center" vertical="top"/>
    </xf>
    <xf numFmtId="177" fontId="0" fillId="6" borderId="0" xfId="0" applyNumberFormat="1" applyFill="1" applyAlignment="1">
      <alignment horizontal="center" vertical="top"/>
    </xf>
    <xf numFmtId="0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样式 1" xfId="49"/>
  </cellStyles>
  <dxfs count="5"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时间管理!$A$41:$A$45</c:f>
              <c:strCache>
                <c:ptCount val="5"/>
                <c:pt idx="0" c:formatCode="h:mm;@">
                  <c:v>浪费</c:v>
                </c:pt>
                <c:pt idx="1" c:formatCode="h:mm;@">
                  <c:v>强迫</c:v>
                </c:pt>
                <c:pt idx="2" c:formatCode="h:mm;@">
                  <c:v>高效</c:v>
                </c:pt>
                <c:pt idx="3" c:formatCode="h:mm;@">
                  <c:v>娱乐</c:v>
                </c:pt>
                <c:pt idx="4" c:formatCode="h:mm;@">
                  <c:v>休息</c:v>
                </c:pt>
              </c:strCache>
            </c:strRef>
          </c:cat>
          <c:val>
            <c:numRef>
              <c:f>时间管理!$J$41:$J$45</c:f>
              <c:numCache>
                <c:formatCode>General</c:formatCode>
                <c:ptCount val="5"/>
                <c:pt idx="0">
                  <c:v>47</c:v>
                </c:pt>
                <c:pt idx="1">
                  <c:v>48</c:v>
                </c:pt>
                <c:pt idx="2">
                  <c:v>104</c:v>
                </c:pt>
                <c:pt idx="3">
                  <c:v>5</c:v>
                </c:pt>
                <c:pt idx="4">
                  <c:v>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dLbl>
              <c:idx val="4"/>
              <c:layout/>
              <c:dLblPos val="in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时间管理!$A$41:$A$45</c:f>
              <c:strCache>
                <c:ptCount val="5"/>
                <c:pt idx="0" c:formatCode="h:mm;@">
                  <c:v>浪费</c:v>
                </c:pt>
                <c:pt idx="1" c:formatCode="h:mm;@">
                  <c:v>强迫</c:v>
                </c:pt>
                <c:pt idx="2" c:formatCode="h:mm;@">
                  <c:v>高效</c:v>
                </c:pt>
                <c:pt idx="3" c:formatCode="h:mm;@">
                  <c:v>娱乐</c:v>
                </c:pt>
                <c:pt idx="4" c:formatCode="h:mm;@">
                  <c:v>休息</c:v>
                </c:pt>
              </c:strCache>
            </c:strRef>
          </c:cat>
          <c:val>
            <c:numRef>
              <c:f>时间管理!$S$41:$S$45</c:f>
              <c:numCache>
                <c:formatCode>General</c:formatCode>
                <c:ptCount val="5"/>
                <c:pt idx="0">
                  <c:v>4</c:v>
                </c:pt>
                <c:pt idx="1">
                  <c:v>8</c:v>
                </c:pt>
                <c:pt idx="2">
                  <c:v>16</c:v>
                </c:pt>
                <c:pt idx="3">
                  <c:v>0</c:v>
                </c:pt>
                <c:pt idx="4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dLbl>
              <c:idx val="4"/>
              <c:layout/>
              <c:dLblPos val="in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时间管理!$A$41:$A$45</c:f>
              <c:strCache>
                <c:ptCount val="5"/>
                <c:pt idx="0" c:formatCode="h:mm;@">
                  <c:v>浪费</c:v>
                </c:pt>
                <c:pt idx="1" c:formatCode="h:mm;@">
                  <c:v>强迫</c:v>
                </c:pt>
                <c:pt idx="2" c:formatCode="h:mm;@">
                  <c:v>高效</c:v>
                </c:pt>
                <c:pt idx="3" c:formatCode="h:mm;@">
                  <c:v>娱乐</c:v>
                </c:pt>
                <c:pt idx="4" c:formatCode="h:mm;@">
                  <c:v>休息</c:v>
                </c:pt>
              </c:strCache>
            </c:strRef>
          </c:cat>
          <c:val>
            <c:numRef>
              <c:f>时间管理!$AB$41:$AB$45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dLbl>
              <c:idx val="4"/>
              <c:layout/>
              <c:dLblPos val="in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时间管理!$A$41:$A$45</c:f>
              <c:strCache>
                <c:ptCount val="5"/>
                <c:pt idx="0" c:formatCode="h:mm;@">
                  <c:v>浪费</c:v>
                </c:pt>
                <c:pt idx="1" c:formatCode="h:mm;@">
                  <c:v>强迫</c:v>
                </c:pt>
                <c:pt idx="2" c:formatCode="h:mm;@">
                  <c:v>高效</c:v>
                </c:pt>
                <c:pt idx="3" c:formatCode="h:mm;@">
                  <c:v>娱乐</c:v>
                </c:pt>
                <c:pt idx="4" c:formatCode="h:mm;@">
                  <c:v>休息</c:v>
                </c:pt>
              </c:strCache>
            </c:strRef>
          </c:cat>
          <c:val>
            <c:numRef>
              <c:f>时间管理!$AK$41:$AK$45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时间管理!$A$41:$A$45</c:f>
              <c:strCache>
                <c:ptCount val="5"/>
                <c:pt idx="0" c:formatCode="h:mm;@">
                  <c:v>浪费</c:v>
                </c:pt>
                <c:pt idx="1" c:formatCode="h:mm;@">
                  <c:v>强迫</c:v>
                </c:pt>
                <c:pt idx="2" c:formatCode="h:mm;@">
                  <c:v>高效</c:v>
                </c:pt>
                <c:pt idx="3" c:formatCode="h:mm;@">
                  <c:v>娱乐</c:v>
                </c:pt>
                <c:pt idx="4" c:formatCode="h:mm;@">
                  <c:v>休息</c:v>
                </c:pt>
              </c:strCache>
            </c:strRef>
          </c:cat>
          <c:val>
            <c:numRef>
              <c:f>时间管理!$AT$41:$AT$45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17318</xdr:colOff>
      <xdr:row>45</xdr:row>
      <xdr:rowOff>19049</xdr:rowOff>
    </xdr:from>
    <xdr:to>
      <xdr:col>5</xdr:col>
      <xdr:colOff>0</xdr:colOff>
      <xdr:row>61</xdr:row>
      <xdr:rowOff>8282</xdr:rowOff>
    </xdr:to>
    <xdr:graphicFrame>
      <xdr:nvGraphicFramePr>
        <xdr:cNvPr id="2" name="图表 1"/>
        <xdr:cNvGraphicFramePr/>
      </xdr:nvGraphicFramePr>
      <xdr:xfrm>
        <a:off x="941070" y="8400415"/>
        <a:ext cx="4964430" cy="3342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45</xdr:row>
      <xdr:rowOff>0</xdr:rowOff>
    </xdr:from>
    <xdr:to>
      <xdr:col>14</xdr:col>
      <xdr:colOff>649432</xdr:colOff>
      <xdr:row>60</xdr:row>
      <xdr:rowOff>198783</xdr:rowOff>
    </xdr:to>
    <xdr:graphicFrame>
      <xdr:nvGraphicFramePr>
        <xdr:cNvPr id="3" name="图表 2"/>
        <xdr:cNvGraphicFramePr/>
      </xdr:nvGraphicFramePr>
      <xdr:xfrm>
        <a:off x="14963775" y="8382000"/>
        <a:ext cx="4963795" cy="33420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0</xdr:rowOff>
    </xdr:from>
    <xdr:to>
      <xdr:col>23</xdr:col>
      <xdr:colOff>649432</xdr:colOff>
      <xdr:row>60</xdr:row>
      <xdr:rowOff>198783</xdr:rowOff>
    </xdr:to>
    <xdr:graphicFrame>
      <xdr:nvGraphicFramePr>
        <xdr:cNvPr id="4" name="图表 3"/>
        <xdr:cNvGraphicFramePr/>
      </xdr:nvGraphicFramePr>
      <xdr:xfrm>
        <a:off x="28336875" y="8382000"/>
        <a:ext cx="4963795" cy="33420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0</xdr:colOff>
      <xdr:row>45</xdr:row>
      <xdr:rowOff>0</xdr:rowOff>
    </xdr:from>
    <xdr:to>
      <xdr:col>32</xdr:col>
      <xdr:colOff>649432</xdr:colOff>
      <xdr:row>60</xdr:row>
      <xdr:rowOff>198783</xdr:rowOff>
    </xdr:to>
    <xdr:graphicFrame>
      <xdr:nvGraphicFramePr>
        <xdr:cNvPr id="5" name="图表 4"/>
        <xdr:cNvGraphicFramePr/>
      </xdr:nvGraphicFramePr>
      <xdr:xfrm>
        <a:off x="41709975" y="8382000"/>
        <a:ext cx="4963795" cy="33420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0</xdr:colOff>
      <xdr:row>45</xdr:row>
      <xdr:rowOff>0</xdr:rowOff>
    </xdr:from>
    <xdr:to>
      <xdr:col>41</xdr:col>
      <xdr:colOff>649432</xdr:colOff>
      <xdr:row>60</xdr:row>
      <xdr:rowOff>198783</xdr:rowOff>
    </xdr:to>
    <xdr:graphicFrame>
      <xdr:nvGraphicFramePr>
        <xdr:cNvPr id="6" name="图表 5"/>
        <xdr:cNvGraphicFramePr/>
      </xdr:nvGraphicFramePr>
      <xdr:xfrm>
        <a:off x="55083075" y="8382000"/>
        <a:ext cx="4963795" cy="33420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applyStyles="1" summaryRight="0"/>
  </sheetPr>
  <dimension ref="A1:AU46"/>
  <sheetViews>
    <sheetView tabSelected="1" zoomScale="85" zoomScaleNormal="85" workbookViewId="0">
      <pane xSplit="1" ySplit="6" topLeftCell="I18" activePane="bottomRight" state="frozen"/>
      <selection/>
      <selection pane="topRight"/>
      <selection pane="bottomLeft"/>
      <selection pane="bottomRight" activeCell="N26" sqref="N26"/>
    </sheetView>
  </sheetViews>
  <sheetFormatPr defaultColWidth="9" defaultRowHeight="16.5"/>
  <cols>
    <col min="1" max="1" width="10.7777777777778" style="19" customWidth="1"/>
    <col min="2" max="2" width="7.77777777777778" style="2" customWidth="1"/>
    <col min="3" max="9" width="16.7777777777778" customWidth="1" outlineLevel="1"/>
    <col min="10" max="10" width="30.7777777777778" customWidth="1" outlineLevel="1"/>
    <col min="11" max="11" width="7.77777777777778" style="2" customWidth="1"/>
    <col min="12" max="18" width="16.7777777777778" customWidth="1" outlineLevel="1"/>
    <col min="19" max="19" width="30.7777777777778" customWidth="1" outlineLevel="1"/>
    <col min="20" max="20" width="7.77777777777778" style="2" customWidth="1"/>
    <col min="21" max="27" width="16.7777777777778" customWidth="1" outlineLevel="1"/>
    <col min="28" max="28" width="30.7777777777778" customWidth="1" outlineLevel="1"/>
    <col min="29" max="29" width="7.77777777777778" style="2" customWidth="1"/>
    <col min="30" max="36" width="16.7777777777778" customWidth="1" outlineLevel="1"/>
    <col min="37" max="37" width="30.7777777777778" customWidth="1" outlineLevel="1"/>
    <col min="38" max="38" width="7.77777777777778" style="2" customWidth="1"/>
    <col min="39" max="45" width="16.7777777777778" customWidth="1" outlineLevel="1"/>
    <col min="46" max="46" width="30.7777777777778" customWidth="1" outlineLevel="1"/>
    <col min="47" max="47" width="10.7777777777778" customWidth="1"/>
  </cols>
  <sheetData>
    <row r="1" hidden="1" spans="1:1">
      <c r="A1" s="20" t="s">
        <v>0</v>
      </c>
    </row>
    <row r="2" hidden="1" spans="1:1">
      <c r="A2" s="21" t="s">
        <v>1</v>
      </c>
    </row>
    <row r="3" hidden="1" spans="1:1">
      <c r="A3" s="22" t="s">
        <v>2</v>
      </c>
    </row>
    <row r="4" hidden="1" spans="1:1">
      <c r="A4" s="23" t="s">
        <v>3</v>
      </c>
    </row>
    <row r="5" hidden="1" spans="1:1">
      <c r="A5" s="24" t="s">
        <v>4</v>
      </c>
    </row>
    <row r="6" s="12" customFormat="1" customHeight="1" spans="1:47">
      <c r="A6" s="8" t="s">
        <v>5</v>
      </c>
      <c r="B6" s="9" t="s">
        <v>6</v>
      </c>
      <c r="C6" s="10">
        <v>43958</v>
      </c>
      <c r="D6" s="10">
        <v>43959</v>
      </c>
      <c r="E6" s="10">
        <v>43960</v>
      </c>
      <c r="F6" s="10">
        <v>43961</v>
      </c>
      <c r="G6" s="10">
        <v>43962</v>
      </c>
      <c r="H6" s="10">
        <v>43963</v>
      </c>
      <c r="I6" s="10">
        <v>43964</v>
      </c>
      <c r="J6" s="13" t="s">
        <v>7</v>
      </c>
      <c r="K6" s="9" t="s">
        <v>8</v>
      </c>
      <c r="L6" s="10">
        <v>43965</v>
      </c>
      <c r="M6" s="10">
        <v>43966</v>
      </c>
      <c r="N6" s="10">
        <v>43967</v>
      </c>
      <c r="O6" s="10">
        <v>43968</v>
      </c>
      <c r="P6" s="10">
        <v>43969</v>
      </c>
      <c r="Q6" s="10">
        <v>43970</v>
      </c>
      <c r="R6" s="10">
        <v>43971</v>
      </c>
      <c r="S6" s="13" t="s">
        <v>7</v>
      </c>
      <c r="T6" s="9" t="s">
        <v>9</v>
      </c>
      <c r="U6" s="10">
        <v>43115</v>
      </c>
      <c r="V6" s="10">
        <v>43116</v>
      </c>
      <c r="W6" s="10">
        <v>43117</v>
      </c>
      <c r="X6" s="10">
        <v>43118</v>
      </c>
      <c r="Y6" s="10">
        <v>43119</v>
      </c>
      <c r="Z6" s="10">
        <v>43120</v>
      </c>
      <c r="AA6" s="10">
        <v>43121</v>
      </c>
      <c r="AB6" s="13" t="s">
        <v>7</v>
      </c>
      <c r="AC6" s="9" t="s">
        <v>10</v>
      </c>
      <c r="AD6" s="10">
        <v>43122</v>
      </c>
      <c r="AE6" s="10">
        <v>43123</v>
      </c>
      <c r="AF6" s="10">
        <v>43124</v>
      </c>
      <c r="AG6" s="10">
        <v>43125</v>
      </c>
      <c r="AH6" s="10">
        <v>43126</v>
      </c>
      <c r="AI6" s="10">
        <v>43127</v>
      </c>
      <c r="AJ6" s="10">
        <v>43128</v>
      </c>
      <c r="AK6" s="13" t="s">
        <v>7</v>
      </c>
      <c r="AL6" s="9" t="s">
        <v>11</v>
      </c>
      <c r="AM6" s="10">
        <v>43129</v>
      </c>
      <c r="AN6" s="10">
        <v>43130</v>
      </c>
      <c r="AO6" s="10">
        <v>43131</v>
      </c>
      <c r="AP6" s="10">
        <v>43132</v>
      </c>
      <c r="AQ6" s="10">
        <v>43133</v>
      </c>
      <c r="AR6" s="10">
        <v>43134</v>
      </c>
      <c r="AS6" s="10">
        <v>43135</v>
      </c>
      <c r="AT6" s="13" t="s">
        <v>7</v>
      </c>
      <c r="AU6" s="18" t="s">
        <v>12</v>
      </c>
    </row>
    <row r="7" customHeight="1" spans="1:47">
      <c r="A7" s="25" t="s">
        <v>13</v>
      </c>
      <c r="B7" s="9"/>
      <c r="C7" s="12" t="s">
        <v>0</v>
      </c>
      <c r="D7" s="12" t="s">
        <v>0</v>
      </c>
      <c r="E7" s="26" t="s">
        <v>0</v>
      </c>
      <c r="F7" s="26" t="s">
        <v>4</v>
      </c>
      <c r="G7" s="26" t="s">
        <v>0</v>
      </c>
      <c r="H7" s="26" t="s">
        <v>0</v>
      </c>
      <c r="I7" s="26" t="s">
        <v>0</v>
      </c>
      <c r="J7" s="15"/>
      <c r="K7" s="9"/>
      <c r="L7" s="12" t="s">
        <v>0</v>
      </c>
      <c r="M7" s="12"/>
      <c r="N7" s="12"/>
      <c r="O7" s="12"/>
      <c r="P7" s="12"/>
      <c r="Q7" s="12"/>
      <c r="R7" s="12"/>
      <c r="S7" s="15"/>
      <c r="T7" s="9"/>
      <c r="U7" s="12"/>
      <c r="V7" s="12"/>
      <c r="W7" s="12"/>
      <c r="X7" s="12"/>
      <c r="Y7" s="12"/>
      <c r="Z7" s="12"/>
      <c r="AA7" s="12"/>
      <c r="AB7" s="15"/>
      <c r="AC7" s="9"/>
      <c r="AD7" s="12"/>
      <c r="AE7" s="12"/>
      <c r="AF7" s="12"/>
      <c r="AG7" s="12"/>
      <c r="AH7" s="12"/>
      <c r="AI7" s="12"/>
      <c r="AJ7" s="12"/>
      <c r="AK7" s="15"/>
      <c r="AL7" s="9"/>
      <c r="AM7" s="33"/>
      <c r="AN7" s="12"/>
      <c r="AO7" s="12"/>
      <c r="AP7" s="12"/>
      <c r="AQ7" s="12"/>
      <c r="AR7" s="12"/>
      <c r="AS7" s="12"/>
      <c r="AT7" s="15"/>
      <c r="AU7" s="18"/>
    </row>
    <row r="8" customHeight="1" spans="1:47">
      <c r="A8" s="25" t="s">
        <v>14</v>
      </c>
      <c r="B8" s="9"/>
      <c r="C8" s="12" t="s">
        <v>1</v>
      </c>
      <c r="D8" s="12" t="s">
        <v>0</v>
      </c>
      <c r="E8" s="26" t="s">
        <v>0</v>
      </c>
      <c r="F8" s="26" t="s">
        <v>3</v>
      </c>
      <c r="G8" s="26" t="s">
        <v>0</v>
      </c>
      <c r="H8" s="26" t="s">
        <v>0</v>
      </c>
      <c r="I8" s="26" t="s">
        <v>0</v>
      </c>
      <c r="J8" s="13" t="s">
        <v>15</v>
      </c>
      <c r="K8" s="9"/>
      <c r="L8" s="12" t="s">
        <v>0</v>
      </c>
      <c r="M8" s="12"/>
      <c r="N8" s="12"/>
      <c r="O8" s="12"/>
      <c r="P8" s="12"/>
      <c r="Q8" s="12"/>
      <c r="R8" s="12"/>
      <c r="S8" s="13" t="s">
        <v>15</v>
      </c>
      <c r="T8" s="9"/>
      <c r="U8" s="12"/>
      <c r="V8" s="12"/>
      <c r="W8" s="12"/>
      <c r="X8" s="12"/>
      <c r="Y8" s="12"/>
      <c r="Z8" s="12"/>
      <c r="AA8" s="12"/>
      <c r="AB8" s="13" t="s">
        <v>15</v>
      </c>
      <c r="AC8" s="9"/>
      <c r="AD8" s="12"/>
      <c r="AE8" s="12"/>
      <c r="AF8" s="12"/>
      <c r="AG8" s="12"/>
      <c r="AH8" s="12"/>
      <c r="AI8" s="12"/>
      <c r="AJ8" s="12"/>
      <c r="AK8" s="13" t="s">
        <v>15</v>
      </c>
      <c r="AL8" s="9"/>
      <c r="AM8" s="33"/>
      <c r="AN8" s="12"/>
      <c r="AO8" s="12"/>
      <c r="AP8" s="12"/>
      <c r="AQ8" s="12"/>
      <c r="AR8" s="12"/>
      <c r="AS8" s="12"/>
      <c r="AT8" s="13" t="s">
        <v>15</v>
      </c>
      <c r="AU8" s="18"/>
    </row>
    <row r="9" customHeight="1" spans="1:47">
      <c r="A9" s="25" t="s">
        <v>16</v>
      </c>
      <c r="B9" s="9"/>
      <c r="C9" s="12" t="s">
        <v>1</v>
      </c>
      <c r="D9" s="12" t="s">
        <v>0</v>
      </c>
      <c r="E9" s="26" t="s">
        <v>0</v>
      </c>
      <c r="F9" s="26" t="s">
        <v>3</v>
      </c>
      <c r="G9" s="26" t="s">
        <v>0</v>
      </c>
      <c r="H9" s="26" t="s">
        <v>0</v>
      </c>
      <c r="I9" s="26" t="s">
        <v>0</v>
      </c>
      <c r="J9" s="15"/>
      <c r="K9" s="9"/>
      <c r="L9" s="12" t="s">
        <v>0</v>
      </c>
      <c r="M9" s="12"/>
      <c r="N9" s="12"/>
      <c r="O9" s="12"/>
      <c r="P9" s="12"/>
      <c r="Q9" s="12"/>
      <c r="R9" s="12"/>
      <c r="S9" s="15"/>
      <c r="T9" s="9"/>
      <c r="U9" s="12"/>
      <c r="V9" s="12"/>
      <c r="W9" s="12"/>
      <c r="X9" s="12"/>
      <c r="Y9" s="12"/>
      <c r="Z9" s="12"/>
      <c r="AA9" s="12"/>
      <c r="AB9" s="15"/>
      <c r="AC9" s="9"/>
      <c r="AD9" s="12"/>
      <c r="AE9" s="12"/>
      <c r="AF9" s="12"/>
      <c r="AG9" s="12"/>
      <c r="AH9" s="12"/>
      <c r="AI9" s="12"/>
      <c r="AJ9" s="12"/>
      <c r="AK9" s="15"/>
      <c r="AL9" s="9"/>
      <c r="AM9" s="33"/>
      <c r="AN9" s="12"/>
      <c r="AO9" s="12"/>
      <c r="AP9" s="12"/>
      <c r="AQ9" s="12"/>
      <c r="AR9" s="12"/>
      <c r="AS9" s="12"/>
      <c r="AT9" s="15"/>
      <c r="AU9" s="18"/>
    </row>
    <row r="10" customHeight="1" spans="1:47">
      <c r="A10" s="25" t="s">
        <v>17</v>
      </c>
      <c r="B10" s="9"/>
      <c r="C10" s="12" t="s">
        <v>0</v>
      </c>
      <c r="D10" s="12" t="s">
        <v>0</v>
      </c>
      <c r="E10" s="26" t="s">
        <v>1</v>
      </c>
      <c r="F10" s="26" t="s">
        <v>0</v>
      </c>
      <c r="G10" s="26" t="s">
        <v>1</v>
      </c>
      <c r="H10" s="26" t="s">
        <v>1</v>
      </c>
      <c r="I10" s="26" t="s">
        <v>0</v>
      </c>
      <c r="J10" s="15"/>
      <c r="K10" s="9"/>
      <c r="L10" s="12" t="s">
        <v>0</v>
      </c>
      <c r="M10" s="12"/>
      <c r="N10" s="12"/>
      <c r="O10" s="12"/>
      <c r="P10" s="12"/>
      <c r="Q10" s="12"/>
      <c r="R10" s="12"/>
      <c r="S10" s="15"/>
      <c r="T10" s="9"/>
      <c r="U10" s="12"/>
      <c r="V10" s="12"/>
      <c r="W10" s="12"/>
      <c r="X10" s="12"/>
      <c r="Y10" s="12"/>
      <c r="Z10" s="12"/>
      <c r="AA10" s="12"/>
      <c r="AB10" s="15"/>
      <c r="AC10" s="9"/>
      <c r="AD10" s="12"/>
      <c r="AE10" s="12"/>
      <c r="AF10" s="12"/>
      <c r="AG10" s="12"/>
      <c r="AH10" s="12"/>
      <c r="AI10" s="12"/>
      <c r="AJ10" s="12"/>
      <c r="AK10" s="15"/>
      <c r="AL10" s="9"/>
      <c r="AM10" s="33"/>
      <c r="AN10" s="12"/>
      <c r="AO10" s="12"/>
      <c r="AP10" s="12"/>
      <c r="AQ10" s="12"/>
      <c r="AR10" s="12"/>
      <c r="AS10" s="12"/>
      <c r="AT10" s="15"/>
      <c r="AU10" s="18"/>
    </row>
    <row r="11" customHeight="1" spans="1:47">
      <c r="A11" s="25" t="s">
        <v>18</v>
      </c>
      <c r="B11" s="9"/>
      <c r="C11" s="12" t="s">
        <v>0</v>
      </c>
      <c r="D11" s="12" t="s">
        <v>1</v>
      </c>
      <c r="E11" s="26" t="s">
        <v>1</v>
      </c>
      <c r="F11" s="26" t="s">
        <v>1</v>
      </c>
      <c r="G11" s="26" t="s">
        <v>1</v>
      </c>
      <c r="H11" s="26" t="s">
        <v>1</v>
      </c>
      <c r="I11" s="26" t="s">
        <v>1</v>
      </c>
      <c r="J11" s="15"/>
      <c r="K11" s="9"/>
      <c r="L11" s="12" t="s">
        <v>1</v>
      </c>
      <c r="M11" s="12"/>
      <c r="N11" s="12"/>
      <c r="O11" s="12"/>
      <c r="P11" s="12"/>
      <c r="Q11" s="12"/>
      <c r="R11" s="12"/>
      <c r="S11" s="15"/>
      <c r="T11" s="9"/>
      <c r="U11" s="12"/>
      <c r="V11" s="12"/>
      <c r="W11" s="12"/>
      <c r="X11" s="12"/>
      <c r="Y11" s="12"/>
      <c r="Z11" s="12"/>
      <c r="AA11" s="12"/>
      <c r="AB11" s="15"/>
      <c r="AC11" s="9"/>
      <c r="AD11" s="12"/>
      <c r="AE11" s="12"/>
      <c r="AF11" s="12"/>
      <c r="AG11" s="12"/>
      <c r="AH11" s="12"/>
      <c r="AI11" s="12"/>
      <c r="AJ11" s="12"/>
      <c r="AK11" s="15"/>
      <c r="AL11" s="9"/>
      <c r="AM11" s="33"/>
      <c r="AN11" s="12"/>
      <c r="AO11" s="12"/>
      <c r="AP11" s="12"/>
      <c r="AQ11" s="12"/>
      <c r="AR11" s="12"/>
      <c r="AS11" s="12"/>
      <c r="AT11" s="15"/>
      <c r="AU11" s="18"/>
    </row>
    <row r="12" customHeight="1" spans="1:47">
      <c r="A12" s="25" t="s">
        <v>19</v>
      </c>
      <c r="B12" s="9"/>
      <c r="C12" s="12" t="s">
        <v>0</v>
      </c>
      <c r="D12" s="12" t="s">
        <v>1</v>
      </c>
      <c r="E12" s="26" t="s">
        <v>4</v>
      </c>
      <c r="F12" s="26" t="s">
        <v>1</v>
      </c>
      <c r="G12" s="26" t="s">
        <v>1</v>
      </c>
      <c r="H12" s="26" t="s">
        <v>1</v>
      </c>
      <c r="I12" s="26" t="s">
        <v>1</v>
      </c>
      <c r="J12" s="13" t="s">
        <v>20</v>
      </c>
      <c r="K12" s="9"/>
      <c r="L12" s="12" t="s">
        <v>1</v>
      </c>
      <c r="M12" s="12"/>
      <c r="N12" s="12"/>
      <c r="O12" s="12"/>
      <c r="P12" s="12"/>
      <c r="Q12" s="12"/>
      <c r="R12" s="12"/>
      <c r="S12" s="13" t="s">
        <v>20</v>
      </c>
      <c r="T12" s="9"/>
      <c r="U12" s="12"/>
      <c r="V12" s="12"/>
      <c r="W12" s="12"/>
      <c r="X12" s="12"/>
      <c r="Y12" s="12"/>
      <c r="Z12" s="12"/>
      <c r="AA12" s="12"/>
      <c r="AB12" s="13" t="s">
        <v>20</v>
      </c>
      <c r="AC12" s="9"/>
      <c r="AD12" s="12"/>
      <c r="AE12" s="12"/>
      <c r="AF12" s="12"/>
      <c r="AG12" s="12"/>
      <c r="AH12" s="12"/>
      <c r="AI12" s="12"/>
      <c r="AJ12" s="12"/>
      <c r="AK12" s="13" t="s">
        <v>20</v>
      </c>
      <c r="AL12" s="9"/>
      <c r="AM12" s="33"/>
      <c r="AN12" s="12"/>
      <c r="AO12" s="12"/>
      <c r="AP12" s="12"/>
      <c r="AQ12" s="12"/>
      <c r="AR12" s="12"/>
      <c r="AS12" s="12"/>
      <c r="AT12" s="13" t="s">
        <v>20</v>
      </c>
      <c r="AU12" s="18"/>
    </row>
    <row r="13" customHeight="1" spans="1:47">
      <c r="A13" s="25" t="s">
        <v>21</v>
      </c>
      <c r="B13" s="9"/>
      <c r="C13" s="12" t="s">
        <v>0</v>
      </c>
      <c r="D13" s="12" t="s">
        <v>2</v>
      </c>
      <c r="E13" s="26" t="s">
        <v>4</v>
      </c>
      <c r="F13" s="26" t="s">
        <v>2</v>
      </c>
      <c r="G13" s="26" t="s">
        <v>2</v>
      </c>
      <c r="H13" s="26" t="s">
        <v>2</v>
      </c>
      <c r="I13" s="26" t="s">
        <v>2</v>
      </c>
      <c r="J13" s="16"/>
      <c r="K13" s="9"/>
      <c r="L13" s="12" t="s">
        <v>2</v>
      </c>
      <c r="M13" s="12"/>
      <c r="N13" s="12"/>
      <c r="O13" s="12"/>
      <c r="P13" s="12"/>
      <c r="Q13" s="12"/>
      <c r="R13" s="12"/>
      <c r="S13" s="16"/>
      <c r="T13" s="9"/>
      <c r="U13" s="12"/>
      <c r="V13" s="12"/>
      <c r="W13" s="12"/>
      <c r="X13" s="12"/>
      <c r="Y13" s="12"/>
      <c r="Z13" s="12"/>
      <c r="AA13" s="12"/>
      <c r="AB13" s="16"/>
      <c r="AC13" s="9"/>
      <c r="AD13" s="12"/>
      <c r="AE13" s="12"/>
      <c r="AF13" s="12"/>
      <c r="AG13" s="12"/>
      <c r="AH13" s="12"/>
      <c r="AI13" s="12"/>
      <c r="AJ13" s="12"/>
      <c r="AK13" s="16"/>
      <c r="AL13" s="9"/>
      <c r="AM13" s="33"/>
      <c r="AN13" s="12"/>
      <c r="AO13" s="12"/>
      <c r="AP13" s="12"/>
      <c r="AQ13" s="12"/>
      <c r="AR13" s="12"/>
      <c r="AS13" s="12"/>
      <c r="AT13" s="16"/>
      <c r="AU13" s="18"/>
    </row>
    <row r="14" customHeight="1" spans="1:47">
      <c r="A14" s="25" t="s">
        <v>22</v>
      </c>
      <c r="B14" s="9"/>
      <c r="C14" s="12" t="s">
        <v>0</v>
      </c>
      <c r="D14" s="12" t="s">
        <v>2</v>
      </c>
      <c r="E14" s="26" t="s">
        <v>1</v>
      </c>
      <c r="F14" s="26" t="s">
        <v>2</v>
      </c>
      <c r="G14" s="26" t="s">
        <v>2</v>
      </c>
      <c r="H14" s="26" t="s">
        <v>2</v>
      </c>
      <c r="I14" s="26" t="s">
        <v>2</v>
      </c>
      <c r="J14" s="16"/>
      <c r="K14" s="9"/>
      <c r="L14" s="12" t="s">
        <v>2</v>
      </c>
      <c r="M14" s="12"/>
      <c r="N14" s="12"/>
      <c r="O14" s="12"/>
      <c r="P14" s="12"/>
      <c r="Q14" s="12"/>
      <c r="R14" s="12"/>
      <c r="S14" s="16"/>
      <c r="T14" s="9"/>
      <c r="U14" s="12"/>
      <c r="V14" s="12"/>
      <c r="W14" s="12"/>
      <c r="X14" s="12"/>
      <c r="Y14" s="12"/>
      <c r="Z14" s="12"/>
      <c r="AA14" s="12"/>
      <c r="AB14" s="16"/>
      <c r="AC14" s="9"/>
      <c r="AD14" s="12"/>
      <c r="AE14" s="12"/>
      <c r="AF14" s="12"/>
      <c r="AG14" s="12"/>
      <c r="AH14" s="12"/>
      <c r="AI14" s="12"/>
      <c r="AJ14" s="12"/>
      <c r="AK14" s="16"/>
      <c r="AL14" s="9"/>
      <c r="AM14" s="33"/>
      <c r="AN14" s="12"/>
      <c r="AO14" s="12"/>
      <c r="AP14" s="12"/>
      <c r="AQ14" s="12"/>
      <c r="AR14" s="12"/>
      <c r="AS14" s="12"/>
      <c r="AT14" s="16"/>
      <c r="AU14" s="18"/>
    </row>
    <row r="15" customHeight="1" spans="1:47">
      <c r="A15" s="25" t="s">
        <v>23</v>
      </c>
      <c r="B15" s="9"/>
      <c r="C15" s="12" t="s">
        <v>0</v>
      </c>
      <c r="D15" s="12" t="s">
        <v>2</v>
      </c>
      <c r="E15" s="26" t="s">
        <v>0</v>
      </c>
      <c r="F15" s="26" t="s">
        <v>0</v>
      </c>
      <c r="G15" s="26" t="s">
        <v>2</v>
      </c>
      <c r="H15" s="26" t="s">
        <v>2</v>
      </c>
      <c r="I15" s="26" t="s">
        <v>2</v>
      </c>
      <c r="J15" s="16"/>
      <c r="K15" s="9"/>
      <c r="L15" s="12" t="s">
        <v>2</v>
      </c>
      <c r="M15" s="12"/>
      <c r="N15" s="12"/>
      <c r="O15" s="12"/>
      <c r="P15" s="12"/>
      <c r="Q15" s="12"/>
      <c r="R15" s="12"/>
      <c r="S15" s="16"/>
      <c r="T15" s="9"/>
      <c r="U15" s="12"/>
      <c r="V15" s="12"/>
      <c r="W15" s="12"/>
      <c r="X15" s="12"/>
      <c r="Y15" s="12"/>
      <c r="Z15" s="12"/>
      <c r="AA15" s="12"/>
      <c r="AB15" s="16"/>
      <c r="AC15" s="9"/>
      <c r="AD15" s="12"/>
      <c r="AE15" s="12"/>
      <c r="AF15" s="12"/>
      <c r="AG15" s="12"/>
      <c r="AH15" s="12"/>
      <c r="AI15" s="12"/>
      <c r="AJ15" s="12"/>
      <c r="AK15" s="16"/>
      <c r="AL15" s="9"/>
      <c r="AM15" s="33"/>
      <c r="AN15" s="12"/>
      <c r="AO15" s="12"/>
      <c r="AP15" s="12"/>
      <c r="AQ15" s="12"/>
      <c r="AR15" s="12"/>
      <c r="AS15" s="12"/>
      <c r="AT15" s="16"/>
      <c r="AU15" s="18"/>
    </row>
    <row r="16" customHeight="1" spans="1:47">
      <c r="A16" s="25" t="s">
        <v>24</v>
      </c>
      <c r="B16" s="9"/>
      <c r="C16" s="12" t="s">
        <v>1</v>
      </c>
      <c r="D16" s="12" t="s">
        <v>1</v>
      </c>
      <c r="E16" s="26" t="s">
        <v>1</v>
      </c>
      <c r="F16" s="26" t="s">
        <v>0</v>
      </c>
      <c r="G16" s="26" t="s">
        <v>2</v>
      </c>
      <c r="H16" s="26" t="s">
        <v>2</v>
      </c>
      <c r="I16" s="26" t="s">
        <v>1</v>
      </c>
      <c r="J16" s="16"/>
      <c r="K16" s="9"/>
      <c r="L16" s="12" t="s">
        <v>1</v>
      </c>
      <c r="M16" s="12"/>
      <c r="N16" s="12"/>
      <c r="O16" s="12"/>
      <c r="P16" s="12"/>
      <c r="Q16" s="12"/>
      <c r="R16" s="12"/>
      <c r="S16" s="16"/>
      <c r="T16" s="9"/>
      <c r="U16" s="12"/>
      <c r="V16" s="12"/>
      <c r="W16" s="12"/>
      <c r="X16" s="12"/>
      <c r="Y16" s="12"/>
      <c r="Z16" s="12"/>
      <c r="AA16" s="12"/>
      <c r="AB16" s="16"/>
      <c r="AC16" s="9"/>
      <c r="AD16" s="12"/>
      <c r="AE16" s="12"/>
      <c r="AF16" s="12"/>
      <c r="AG16" s="12"/>
      <c r="AH16" s="12"/>
      <c r="AI16" s="12"/>
      <c r="AJ16" s="12"/>
      <c r="AK16" s="16"/>
      <c r="AL16" s="9"/>
      <c r="AM16" s="33"/>
      <c r="AN16" s="12"/>
      <c r="AO16" s="12"/>
      <c r="AP16" s="12"/>
      <c r="AQ16" s="12"/>
      <c r="AR16" s="12"/>
      <c r="AS16" s="12"/>
      <c r="AT16" s="16"/>
      <c r="AU16" s="18"/>
    </row>
    <row r="17" customHeight="1" spans="1:47">
      <c r="A17" s="25" t="s">
        <v>25</v>
      </c>
      <c r="B17" s="9"/>
      <c r="C17" s="12" t="s">
        <v>1</v>
      </c>
      <c r="D17" s="12" t="s">
        <v>1</v>
      </c>
      <c r="E17" s="26" t="s">
        <v>1</v>
      </c>
      <c r="F17" s="26" t="s">
        <v>1</v>
      </c>
      <c r="G17" s="26" t="s">
        <v>2</v>
      </c>
      <c r="H17" s="26" t="s">
        <v>4</v>
      </c>
      <c r="I17" s="26" t="s">
        <v>1</v>
      </c>
      <c r="J17" s="16"/>
      <c r="K17" s="9"/>
      <c r="L17" s="12" t="s">
        <v>4</v>
      </c>
      <c r="M17" s="12"/>
      <c r="N17" s="12"/>
      <c r="O17" s="12"/>
      <c r="P17" s="12"/>
      <c r="Q17" s="12"/>
      <c r="R17" s="12"/>
      <c r="S17" s="16"/>
      <c r="T17" s="9"/>
      <c r="U17" s="12"/>
      <c r="V17" s="12"/>
      <c r="W17" s="12"/>
      <c r="X17" s="12"/>
      <c r="Y17" s="12"/>
      <c r="Z17" s="12"/>
      <c r="AA17" s="12"/>
      <c r="AB17" s="16"/>
      <c r="AC17" s="9"/>
      <c r="AD17" s="12"/>
      <c r="AE17" s="12"/>
      <c r="AF17" s="12"/>
      <c r="AG17" s="12"/>
      <c r="AH17" s="12"/>
      <c r="AI17" s="12"/>
      <c r="AJ17" s="12"/>
      <c r="AK17" s="16"/>
      <c r="AL17" s="9"/>
      <c r="AM17" s="33"/>
      <c r="AN17" s="12"/>
      <c r="AO17" s="12"/>
      <c r="AP17" s="12"/>
      <c r="AQ17" s="12"/>
      <c r="AR17" s="12"/>
      <c r="AS17" s="12"/>
      <c r="AT17" s="16"/>
      <c r="AU17" s="18"/>
    </row>
    <row r="18" customHeight="1" spans="1:47">
      <c r="A18" s="25" t="s">
        <v>26</v>
      </c>
      <c r="B18" s="9"/>
      <c r="C18" s="12" t="s">
        <v>1</v>
      </c>
      <c r="D18" s="12" t="s">
        <v>1</v>
      </c>
      <c r="E18" s="26" t="s">
        <v>1</v>
      </c>
      <c r="F18" s="26" t="s">
        <v>4</v>
      </c>
      <c r="G18" s="26" t="s">
        <v>2</v>
      </c>
      <c r="H18" s="26" t="s">
        <v>4</v>
      </c>
      <c r="I18" s="26" t="s">
        <v>1</v>
      </c>
      <c r="J18" s="16"/>
      <c r="K18" s="9"/>
      <c r="L18" s="12" t="s">
        <v>4</v>
      </c>
      <c r="M18" s="12"/>
      <c r="N18" s="12"/>
      <c r="O18" s="12"/>
      <c r="P18" s="12"/>
      <c r="Q18" s="12"/>
      <c r="R18" s="12"/>
      <c r="S18" s="16"/>
      <c r="T18" s="9"/>
      <c r="U18" s="12"/>
      <c r="V18" s="12"/>
      <c r="W18" s="12"/>
      <c r="X18" s="12"/>
      <c r="Y18" s="12"/>
      <c r="Z18" s="12"/>
      <c r="AA18" s="12"/>
      <c r="AB18" s="16"/>
      <c r="AC18" s="9"/>
      <c r="AD18" s="12"/>
      <c r="AE18" s="12"/>
      <c r="AF18" s="12"/>
      <c r="AG18" s="12"/>
      <c r="AH18" s="12"/>
      <c r="AI18" s="12"/>
      <c r="AJ18" s="12"/>
      <c r="AK18" s="16"/>
      <c r="AL18" s="9"/>
      <c r="AM18" s="33"/>
      <c r="AN18" s="12"/>
      <c r="AO18" s="12"/>
      <c r="AP18" s="12"/>
      <c r="AQ18" s="12"/>
      <c r="AR18" s="12"/>
      <c r="AS18" s="12"/>
      <c r="AT18" s="16"/>
      <c r="AU18" s="18"/>
    </row>
    <row r="19" customHeight="1" spans="1:47">
      <c r="A19" s="25" t="s">
        <v>27</v>
      </c>
      <c r="B19" s="9"/>
      <c r="C19" s="12" t="s">
        <v>1</v>
      </c>
      <c r="D19" s="12" t="s">
        <v>4</v>
      </c>
      <c r="E19" s="26" t="s">
        <v>1</v>
      </c>
      <c r="F19" s="26" t="s">
        <v>4</v>
      </c>
      <c r="G19" s="26" t="s">
        <v>4</v>
      </c>
      <c r="H19" s="26" t="s">
        <v>4</v>
      </c>
      <c r="I19" s="26" t="s">
        <v>1</v>
      </c>
      <c r="J19" s="16"/>
      <c r="K19" s="9"/>
      <c r="L19" s="12" t="s">
        <v>4</v>
      </c>
      <c r="M19" s="12"/>
      <c r="N19" s="12"/>
      <c r="O19" s="12"/>
      <c r="P19" s="12"/>
      <c r="Q19" s="12"/>
      <c r="R19" s="12"/>
      <c r="S19" s="16"/>
      <c r="T19" s="9"/>
      <c r="U19" s="12"/>
      <c r="V19" s="12"/>
      <c r="W19" s="12"/>
      <c r="X19" s="12"/>
      <c r="Y19" s="12"/>
      <c r="Z19" s="12"/>
      <c r="AA19" s="12"/>
      <c r="AB19" s="16"/>
      <c r="AC19" s="9"/>
      <c r="AD19" s="12"/>
      <c r="AE19" s="12"/>
      <c r="AF19" s="12"/>
      <c r="AG19" s="12"/>
      <c r="AH19" s="12"/>
      <c r="AI19" s="12"/>
      <c r="AJ19" s="12"/>
      <c r="AK19" s="16"/>
      <c r="AL19" s="9"/>
      <c r="AM19" s="33"/>
      <c r="AN19" s="12"/>
      <c r="AO19" s="12"/>
      <c r="AP19" s="12"/>
      <c r="AQ19" s="12"/>
      <c r="AR19" s="12"/>
      <c r="AS19" s="12"/>
      <c r="AT19" s="16"/>
      <c r="AU19" s="18"/>
    </row>
    <row r="20" customHeight="1" spans="1:47">
      <c r="A20" s="25" t="s">
        <v>28</v>
      </c>
      <c r="B20" s="9"/>
      <c r="C20" s="12" t="s">
        <v>2</v>
      </c>
      <c r="D20" s="12" t="s">
        <v>4</v>
      </c>
      <c r="E20" s="26" t="s">
        <v>0</v>
      </c>
      <c r="F20" s="26" t="s">
        <v>2</v>
      </c>
      <c r="G20" s="26" t="s">
        <v>4</v>
      </c>
      <c r="H20" s="26" t="s">
        <v>4</v>
      </c>
      <c r="I20" s="26" t="s">
        <v>2</v>
      </c>
      <c r="J20" s="16"/>
      <c r="K20" s="9"/>
      <c r="L20" s="12" t="s">
        <v>4</v>
      </c>
      <c r="M20" s="12"/>
      <c r="N20" s="12"/>
      <c r="O20" s="12"/>
      <c r="P20" s="12"/>
      <c r="Q20" s="12"/>
      <c r="R20" s="12"/>
      <c r="S20" s="16"/>
      <c r="T20" s="9"/>
      <c r="U20" s="12"/>
      <c r="V20" s="12"/>
      <c r="W20" s="12"/>
      <c r="X20" s="12"/>
      <c r="Y20" s="12"/>
      <c r="Z20" s="12"/>
      <c r="AA20" s="12"/>
      <c r="AB20" s="16"/>
      <c r="AC20" s="9"/>
      <c r="AD20" s="12"/>
      <c r="AE20" s="12"/>
      <c r="AF20" s="12"/>
      <c r="AG20" s="12"/>
      <c r="AH20" s="12"/>
      <c r="AI20" s="12"/>
      <c r="AJ20" s="12"/>
      <c r="AK20" s="16"/>
      <c r="AL20" s="9"/>
      <c r="AM20" s="33"/>
      <c r="AN20" s="12"/>
      <c r="AO20" s="12"/>
      <c r="AP20" s="12"/>
      <c r="AQ20" s="12"/>
      <c r="AR20" s="12"/>
      <c r="AS20" s="12"/>
      <c r="AT20" s="16"/>
      <c r="AU20" s="18"/>
    </row>
    <row r="21" customHeight="1" spans="1:47">
      <c r="A21" s="25" t="s">
        <v>29</v>
      </c>
      <c r="B21" s="9"/>
      <c r="C21" s="12" t="s">
        <v>2</v>
      </c>
      <c r="D21" s="12" t="s">
        <v>2</v>
      </c>
      <c r="E21" s="26" t="s">
        <v>0</v>
      </c>
      <c r="F21" s="26" t="s">
        <v>2</v>
      </c>
      <c r="G21" s="26" t="s">
        <v>2</v>
      </c>
      <c r="H21" s="26" t="s">
        <v>2</v>
      </c>
      <c r="I21" s="26" t="s">
        <v>2</v>
      </c>
      <c r="J21" s="16"/>
      <c r="K21" s="9"/>
      <c r="L21" s="12" t="s">
        <v>2</v>
      </c>
      <c r="M21" s="12"/>
      <c r="N21" s="12"/>
      <c r="O21" s="12"/>
      <c r="P21" s="12"/>
      <c r="Q21" s="12"/>
      <c r="R21" s="12"/>
      <c r="S21" s="16"/>
      <c r="T21" s="9"/>
      <c r="U21" s="33"/>
      <c r="V21" s="12"/>
      <c r="W21" s="12"/>
      <c r="X21" s="12"/>
      <c r="Y21" s="12"/>
      <c r="Z21" s="12"/>
      <c r="AA21" s="12"/>
      <c r="AB21" s="16"/>
      <c r="AC21" s="9"/>
      <c r="AD21" s="12"/>
      <c r="AE21" s="12"/>
      <c r="AF21" s="12"/>
      <c r="AG21" s="12"/>
      <c r="AH21" s="12"/>
      <c r="AI21" s="12"/>
      <c r="AJ21" s="12"/>
      <c r="AK21" s="16"/>
      <c r="AL21" s="9"/>
      <c r="AM21" s="33"/>
      <c r="AN21" s="12"/>
      <c r="AO21" s="12"/>
      <c r="AP21" s="12"/>
      <c r="AQ21" s="12"/>
      <c r="AR21" s="12"/>
      <c r="AS21" s="12"/>
      <c r="AT21" s="16"/>
      <c r="AU21" s="18"/>
    </row>
    <row r="22" customHeight="1" spans="1:47">
      <c r="A22" s="25" t="s">
        <v>30</v>
      </c>
      <c r="B22" s="9"/>
      <c r="C22" s="12" t="s">
        <v>2</v>
      </c>
      <c r="D22" s="12" t="s">
        <v>2</v>
      </c>
      <c r="E22" s="26" t="s">
        <v>0</v>
      </c>
      <c r="F22" s="26" t="s">
        <v>2</v>
      </c>
      <c r="G22" s="26" t="s">
        <v>2</v>
      </c>
      <c r="H22" s="26" t="s">
        <v>2</v>
      </c>
      <c r="I22" s="26" t="s">
        <v>2</v>
      </c>
      <c r="J22" s="16"/>
      <c r="K22" s="9"/>
      <c r="L22" s="12" t="s">
        <v>2</v>
      </c>
      <c r="M22" s="12"/>
      <c r="N22" s="12"/>
      <c r="O22" s="12"/>
      <c r="P22" s="12"/>
      <c r="Q22" s="12"/>
      <c r="R22" s="12"/>
      <c r="S22" s="16"/>
      <c r="T22" s="9"/>
      <c r="U22" s="33"/>
      <c r="V22" s="12"/>
      <c r="W22" s="12"/>
      <c r="X22" s="12"/>
      <c r="Y22" s="12"/>
      <c r="Z22" s="12"/>
      <c r="AA22" s="12"/>
      <c r="AB22" s="16"/>
      <c r="AC22" s="9"/>
      <c r="AD22" s="12"/>
      <c r="AE22" s="12"/>
      <c r="AF22" s="12"/>
      <c r="AG22" s="12"/>
      <c r="AH22" s="12"/>
      <c r="AI22" s="12"/>
      <c r="AJ22" s="12"/>
      <c r="AK22" s="16"/>
      <c r="AL22" s="9"/>
      <c r="AM22" s="26"/>
      <c r="AN22" s="12"/>
      <c r="AO22" s="12"/>
      <c r="AP22" s="12"/>
      <c r="AQ22" s="12"/>
      <c r="AR22" s="12"/>
      <c r="AS22" s="12"/>
      <c r="AT22" s="16"/>
      <c r="AU22" s="18"/>
    </row>
    <row r="23" customHeight="1" spans="1:47">
      <c r="A23" s="25" t="s">
        <v>31</v>
      </c>
      <c r="B23" s="9"/>
      <c r="C23" s="12" t="s">
        <v>2</v>
      </c>
      <c r="D23" s="12" t="s">
        <v>2</v>
      </c>
      <c r="E23" s="26" t="s">
        <v>0</v>
      </c>
      <c r="F23" s="26" t="s">
        <v>2</v>
      </c>
      <c r="G23" s="26" t="s">
        <v>2</v>
      </c>
      <c r="H23" s="26" t="s">
        <v>2</v>
      </c>
      <c r="I23" s="26" t="s">
        <v>2</v>
      </c>
      <c r="J23" s="16"/>
      <c r="K23" s="9"/>
      <c r="L23" s="12" t="s">
        <v>2</v>
      </c>
      <c r="M23" s="12"/>
      <c r="N23" s="12"/>
      <c r="O23" s="12"/>
      <c r="P23" s="12"/>
      <c r="Q23" s="12"/>
      <c r="R23" s="12"/>
      <c r="S23" s="16"/>
      <c r="T23" s="9"/>
      <c r="U23" s="33"/>
      <c r="V23" s="12"/>
      <c r="W23" s="12"/>
      <c r="X23" s="12"/>
      <c r="Y23" s="12"/>
      <c r="Z23" s="12"/>
      <c r="AA23" s="12"/>
      <c r="AB23" s="16"/>
      <c r="AC23" s="9"/>
      <c r="AD23" s="12"/>
      <c r="AE23" s="12"/>
      <c r="AF23" s="12"/>
      <c r="AG23" s="12"/>
      <c r="AH23" s="12"/>
      <c r="AI23" s="12"/>
      <c r="AJ23" s="12"/>
      <c r="AK23" s="16"/>
      <c r="AL23" s="9"/>
      <c r="AM23" s="26"/>
      <c r="AN23" s="12"/>
      <c r="AO23" s="12"/>
      <c r="AP23" s="12"/>
      <c r="AQ23" s="12"/>
      <c r="AR23" s="12"/>
      <c r="AS23" s="12"/>
      <c r="AT23" s="16"/>
      <c r="AU23" s="18"/>
    </row>
    <row r="24" customHeight="1" spans="1:47">
      <c r="A24" s="25" t="s">
        <v>32</v>
      </c>
      <c r="B24" s="9"/>
      <c r="C24" s="12" t="s">
        <v>2</v>
      </c>
      <c r="D24" s="12" t="s">
        <v>2</v>
      </c>
      <c r="E24" s="26" t="s">
        <v>2</v>
      </c>
      <c r="F24" s="26" t="s">
        <v>2</v>
      </c>
      <c r="G24" s="26" t="s">
        <v>2</v>
      </c>
      <c r="H24" s="26" t="s">
        <v>2</v>
      </c>
      <c r="I24" s="26" t="s">
        <v>2</v>
      </c>
      <c r="J24" s="13" t="s">
        <v>33</v>
      </c>
      <c r="K24" s="9"/>
      <c r="L24" s="12" t="s">
        <v>2</v>
      </c>
      <c r="M24" s="12"/>
      <c r="N24" s="12"/>
      <c r="O24" s="12"/>
      <c r="P24" s="12"/>
      <c r="Q24" s="12"/>
      <c r="R24" s="12"/>
      <c r="S24" s="13" t="s">
        <v>33</v>
      </c>
      <c r="T24" s="9"/>
      <c r="U24" s="33"/>
      <c r="V24" s="12"/>
      <c r="W24" s="12"/>
      <c r="X24" s="12"/>
      <c r="Y24" s="12"/>
      <c r="Z24" s="12"/>
      <c r="AA24" s="12"/>
      <c r="AB24" s="13" t="s">
        <v>33</v>
      </c>
      <c r="AC24" s="9"/>
      <c r="AD24" s="12"/>
      <c r="AE24" s="12"/>
      <c r="AF24" s="12"/>
      <c r="AG24" s="12"/>
      <c r="AH24" s="12"/>
      <c r="AI24" s="12"/>
      <c r="AJ24" s="12"/>
      <c r="AK24" s="13" t="s">
        <v>33</v>
      </c>
      <c r="AL24" s="9"/>
      <c r="AM24" s="26"/>
      <c r="AN24" s="12"/>
      <c r="AO24" s="12"/>
      <c r="AP24" s="12"/>
      <c r="AQ24" s="12"/>
      <c r="AR24" s="12"/>
      <c r="AS24" s="12"/>
      <c r="AT24" s="13" t="s">
        <v>33</v>
      </c>
      <c r="AU24" s="18"/>
    </row>
    <row r="25" customHeight="1" spans="1:47">
      <c r="A25" s="25" t="s">
        <v>34</v>
      </c>
      <c r="B25" s="9"/>
      <c r="C25" s="12" t="s">
        <v>2</v>
      </c>
      <c r="D25" s="12" t="s">
        <v>2</v>
      </c>
      <c r="E25" s="26" t="s">
        <v>2</v>
      </c>
      <c r="F25" s="26" t="s">
        <v>2</v>
      </c>
      <c r="G25" s="26" t="s">
        <v>2</v>
      </c>
      <c r="H25" s="26" t="s">
        <v>2</v>
      </c>
      <c r="I25" s="26" t="s">
        <v>2</v>
      </c>
      <c r="J25" s="16"/>
      <c r="K25" s="9"/>
      <c r="L25" s="12" t="s">
        <v>2</v>
      </c>
      <c r="M25" s="12"/>
      <c r="N25" s="12"/>
      <c r="O25" s="12"/>
      <c r="P25" s="12"/>
      <c r="Q25" s="12"/>
      <c r="R25" s="12"/>
      <c r="S25" s="16"/>
      <c r="T25" s="9"/>
      <c r="U25" s="33"/>
      <c r="V25" s="12"/>
      <c r="W25" s="12"/>
      <c r="X25" s="12"/>
      <c r="Y25" s="12"/>
      <c r="Z25" s="12"/>
      <c r="AA25" s="12"/>
      <c r="AB25" s="16"/>
      <c r="AC25" s="9"/>
      <c r="AD25" s="12"/>
      <c r="AE25" s="12"/>
      <c r="AF25" s="12"/>
      <c r="AG25" s="12"/>
      <c r="AH25" s="12"/>
      <c r="AI25" s="12"/>
      <c r="AJ25" s="12"/>
      <c r="AK25" s="16"/>
      <c r="AL25" s="9"/>
      <c r="AM25" s="26"/>
      <c r="AN25" s="12"/>
      <c r="AO25" s="12"/>
      <c r="AP25" s="12"/>
      <c r="AQ25" s="12"/>
      <c r="AR25" s="12"/>
      <c r="AS25" s="12"/>
      <c r="AT25" s="16"/>
      <c r="AU25" s="18"/>
    </row>
    <row r="26" customHeight="1" spans="1:47">
      <c r="A26" s="25" t="s">
        <v>35</v>
      </c>
      <c r="B26" s="9"/>
      <c r="C26" s="12" t="s">
        <v>2</v>
      </c>
      <c r="D26" s="12" t="s">
        <v>2</v>
      </c>
      <c r="E26" s="26" t="s">
        <v>2</v>
      </c>
      <c r="F26" s="26" t="s">
        <v>2</v>
      </c>
      <c r="G26" s="26" t="s">
        <v>4</v>
      </c>
      <c r="H26" s="26" t="s">
        <v>2</v>
      </c>
      <c r="I26" s="26" t="s">
        <v>2</v>
      </c>
      <c r="J26" s="16"/>
      <c r="K26" s="9"/>
      <c r="L26" s="12" t="s">
        <v>2</v>
      </c>
      <c r="M26" s="12"/>
      <c r="N26" s="12"/>
      <c r="O26" s="12"/>
      <c r="P26" s="12"/>
      <c r="Q26" s="12"/>
      <c r="R26" s="12"/>
      <c r="S26" s="16"/>
      <c r="T26" s="9"/>
      <c r="U26" s="33"/>
      <c r="V26" s="12"/>
      <c r="W26" s="12"/>
      <c r="X26" s="12"/>
      <c r="Y26" s="12"/>
      <c r="Z26" s="12"/>
      <c r="AA26" s="12"/>
      <c r="AB26" s="16"/>
      <c r="AC26" s="9"/>
      <c r="AD26" s="12"/>
      <c r="AE26" s="12"/>
      <c r="AF26" s="12"/>
      <c r="AG26" s="12"/>
      <c r="AH26" s="12"/>
      <c r="AI26" s="12"/>
      <c r="AJ26" s="12"/>
      <c r="AK26" s="16"/>
      <c r="AL26" s="9"/>
      <c r="AM26" s="26"/>
      <c r="AN26" s="12"/>
      <c r="AO26" s="12"/>
      <c r="AP26" s="12"/>
      <c r="AQ26" s="12"/>
      <c r="AR26" s="12"/>
      <c r="AS26" s="12"/>
      <c r="AT26" s="16"/>
      <c r="AU26" s="18"/>
    </row>
    <row r="27" customHeight="1" spans="1:47">
      <c r="A27" s="25" t="s">
        <v>36</v>
      </c>
      <c r="B27" s="9"/>
      <c r="C27" s="12" t="s">
        <v>2</v>
      </c>
      <c r="D27" s="12" t="s">
        <v>2</v>
      </c>
      <c r="E27" s="26" t="s">
        <v>2</v>
      </c>
      <c r="F27" s="26" t="s">
        <v>3</v>
      </c>
      <c r="G27" s="26" t="s">
        <v>2</v>
      </c>
      <c r="H27" s="26" t="s">
        <v>2</v>
      </c>
      <c r="I27" s="26" t="s">
        <v>0</v>
      </c>
      <c r="J27" s="16"/>
      <c r="K27" s="9"/>
      <c r="L27" s="12" t="s">
        <v>2</v>
      </c>
      <c r="M27" s="12"/>
      <c r="N27" s="12"/>
      <c r="O27" s="12"/>
      <c r="P27" s="12"/>
      <c r="Q27" s="12"/>
      <c r="R27" s="12"/>
      <c r="S27" s="16"/>
      <c r="T27" s="9"/>
      <c r="U27" s="33"/>
      <c r="V27" s="12"/>
      <c r="W27" s="12"/>
      <c r="X27" s="12"/>
      <c r="Y27" s="12"/>
      <c r="Z27" s="12"/>
      <c r="AA27" s="12"/>
      <c r="AB27" s="16"/>
      <c r="AC27" s="9"/>
      <c r="AD27" s="12"/>
      <c r="AE27" s="12"/>
      <c r="AF27" s="12"/>
      <c r="AG27" s="12"/>
      <c r="AH27" s="12"/>
      <c r="AI27" s="12"/>
      <c r="AJ27" s="12"/>
      <c r="AK27" s="16"/>
      <c r="AL27" s="9"/>
      <c r="AM27" s="26"/>
      <c r="AN27" s="12"/>
      <c r="AO27" s="12"/>
      <c r="AP27" s="12"/>
      <c r="AQ27" s="12"/>
      <c r="AR27" s="12"/>
      <c r="AS27" s="12"/>
      <c r="AT27" s="16"/>
      <c r="AU27" s="18"/>
    </row>
    <row r="28" customHeight="1" spans="1:47">
      <c r="A28" s="25" t="s">
        <v>37</v>
      </c>
      <c r="B28" s="9"/>
      <c r="C28" s="12" t="s">
        <v>2</v>
      </c>
      <c r="D28" s="12" t="s">
        <v>2</v>
      </c>
      <c r="E28" s="26" t="s">
        <v>2</v>
      </c>
      <c r="F28" s="26" t="s">
        <v>0</v>
      </c>
      <c r="G28" s="26" t="s">
        <v>2</v>
      </c>
      <c r="H28" s="26" t="s">
        <v>2</v>
      </c>
      <c r="I28" s="26" t="s">
        <v>0</v>
      </c>
      <c r="J28" s="16"/>
      <c r="K28" s="9"/>
      <c r="L28" s="12" t="s">
        <v>2</v>
      </c>
      <c r="M28" s="12"/>
      <c r="N28" s="12"/>
      <c r="O28" s="12"/>
      <c r="P28" s="12"/>
      <c r="Q28" s="12"/>
      <c r="R28" s="12"/>
      <c r="S28" s="16"/>
      <c r="T28" s="9"/>
      <c r="U28" s="12"/>
      <c r="V28" s="12"/>
      <c r="W28" s="12"/>
      <c r="X28" s="12"/>
      <c r="Y28" s="12"/>
      <c r="Z28" s="12"/>
      <c r="AA28" s="12"/>
      <c r="AB28" s="16"/>
      <c r="AC28" s="9"/>
      <c r="AD28" s="12"/>
      <c r="AE28" s="12"/>
      <c r="AF28" s="12"/>
      <c r="AG28" s="12"/>
      <c r="AH28" s="12"/>
      <c r="AI28" s="12"/>
      <c r="AJ28" s="12"/>
      <c r="AK28" s="16"/>
      <c r="AL28" s="9"/>
      <c r="AM28" s="26"/>
      <c r="AN28" s="12"/>
      <c r="AO28" s="12"/>
      <c r="AP28" s="12"/>
      <c r="AQ28" s="12"/>
      <c r="AR28" s="12"/>
      <c r="AS28" s="12"/>
      <c r="AT28" s="16"/>
      <c r="AU28" s="18"/>
    </row>
    <row r="29" customHeight="1" spans="1:47">
      <c r="A29" s="25" t="s">
        <v>38</v>
      </c>
      <c r="B29" s="9"/>
      <c r="C29" s="12" t="s">
        <v>4</v>
      </c>
      <c r="D29" s="12" t="s">
        <v>2</v>
      </c>
      <c r="E29" s="26" t="s">
        <v>2</v>
      </c>
      <c r="F29" s="26" t="s">
        <v>0</v>
      </c>
      <c r="G29" s="26" t="s">
        <v>4</v>
      </c>
      <c r="H29" s="26" t="s">
        <v>4</v>
      </c>
      <c r="I29" s="26" t="s">
        <v>4</v>
      </c>
      <c r="J29" s="16"/>
      <c r="K29" s="9"/>
      <c r="L29" s="12" t="s">
        <v>2</v>
      </c>
      <c r="M29" s="12"/>
      <c r="N29" s="12"/>
      <c r="O29" s="12"/>
      <c r="P29" s="12"/>
      <c r="Q29" s="12"/>
      <c r="R29" s="12"/>
      <c r="S29" s="16"/>
      <c r="T29" s="9"/>
      <c r="U29" s="12"/>
      <c r="V29" s="12"/>
      <c r="W29" s="12"/>
      <c r="X29" s="12"/>
      <c r="Y29" s="12"/>
      <c r="Z29" s="12"/>
      <c r="AA29" s="12"/>
      <c r="AB29" s="16"/>
      <c r="AC29" s="9"/>
      <c r="AD29" s="12"/>
      <c r="AE29" s="12"/>
      <c r="AF29" s="12"/>
      <c r="AG29" s="12"/>
      <c r="AH29" s="12"/>
      <c r="AI29" s="12"/>
      <c r="AJ29" s="12"/>
      <c r="AK29" s="16"/>
      <c r="AL29" s="9"/>
      <c r="AM29" s="33"/>
      <c r="AN29" s="12"/>
      <c r="AO29" s="12"/>
      <c r="AP29" s="12"/>
      <c r="AQ29" s="12"/>
      <c r="AR29" s="12"/>
      <c r="AS29" s="12"/>
      <c r="AT29" s="16"/>
      <c r="AU29" s="18"/>
    </row>
    <row r="30" customHeight="1" spans="1:47">
      <c r="A30" s="25" t="s">
        <v>39</v>
      </c>
      <c r="B30" s="9"/>
      <c r="C30" s="12" t="s">
        <v>4</v>
      </c>
      <c r="D30" s="12" t="s">
        <v>0</v>
      </c>
      <c r="E30" s="26" t="s">
        <v>1</v>
      </c>
      <c r="F30" s="26" t="s">
        <v>3</v>
      </c>
      <c r="G30" s="26" t="s">
        <v>4</v>
      </c>
      <c r="H30" s="26" t="s">
        <v>4</v>
      </c>
      <c r="I30" s="26" t="s">
        <v>4</v>
      </c>
      <c r="J30" s="13" t="s">
        <v>40</v>
      </c>
      <c r="K30" s="9"/>
      <c r="L30" s="12" t="s">
        <v>1</v>
      </c>
      <c r="M30" s="12"/>
      <c r="N30" s="12"/>
      <c r="O30" s="12"/>
      <c r="P30" s="12"/>
      <c r="Q30" s="12"/>
      <c r="R30" s="12"/>
      <c r="S30" s="13" t="s">
        <v>40</v>
      </c>
      <c r="T30" s="9"/>
      <c r="U30" s="12"/>
      <c r="V30" s="12"/>
      <c r="W30" s="12"/>
      <c r="X30" s="12"/>
      <c r="Y30" s="12"/>
      <c r="Z30" s="12"/>
      <c r="AA30" s="12"/>
      <c r="AB30" s="13" t="s">
        <v>40</v>
      </c>
      <c r="AC30" s="9"/>
      <c r="AD30" s="12"/>
      <c r="AE30" s="12"/>
      <c r="AF30" s="12"/>
      <c r="AG30" s="12"/>
      <c r="AH30" s="12"/>
      <c r="AI30" s="12"/>
      <c r="AJ30" s="12"/>
      <c r="AK30" s="13" t="s">
        <v>40</v>
      </c>
      <c r="AL30" s="9"/>
      <c r="AM30" s="33"/>
      <c r="AN30" s="12"/>
      <c r="AO30" s="12"/>
      <c r="AP30" s="12"/>
      <c r="AQ30" s="12"/>
      <c r="AR30" s="12"/>
      <c r="AS30" s="12"/>
      <c r="AT30" s="13" t="s">
        <v>40</v>
      </c>
      <c r="AU30" s="18"/>
    </row>
    <row r="31" customHeight="1" spans="1:47">
      <c r="A31" s="25" t="s">
        <v>41</v>
      </c>
      <c r="B31" s="9"/>
      <c r="C31" s="12" t="s">
        <v>4</v>
      </c>
      <c r="D31" s="12" t="s">
        <v>1</v>
      </c>
      <c r="E31" s="26" t="s">
        <v>1</v>
      </c>
      <c r="F31" s="26" t="s">
        <v>3</v>
      </c>
      <c r="G31" s="26" t="s">
        <v>4</v>
      </c>
      <c r="H31" s="26" t="s">
        <v>4</v>
      </c>
      <c r="I31" s="26" t="s">
        <v>4</v>
      </c>
      <c r="J31" s="16"/>
      <c r="K31" s="9"/>
      <c r="L31" s="12" t="s">
        <v>1</v>
      </c>
      <c r="M31" s="12"/>
      <c r="N31" s="12"/>
      <c r="O31" s="12"/>
      <c r="P31" s="12"/>
      <c r="Q31" s="12"/>
      <c r="R31" s="12"/>
      <c r="S31" s="16"/>
      <c r="T31" s="9"/>
      <c r="U31" s="12"/>
      <c r="V31" s="12"/>
      <c r="W31" s="12"/>
      <c r="X31" s="12"/>
      <c r="Y31" s="12"/>
      <c r="Z31" s="12"/>
      <c r="AA31" s="12"/>
      <c r="AB31" s="16"/>
      <c r="AC31" s="9"/>
      <c r="AD31" s="12"/>
      <c r="AE31" s="12"/>
      <c r="AF31" s="12"/>
      <c r="AG31" s="12"/>
      <c r="AH31" s="12"/>
      <c r="AI31" s="12"/>
      <c r="AJ31" s="12"/>
      <c r="AK31" s="16"/>
      <c r="AL31" s="9"/>
      <c r="AM31" s="33"/>
      <c r="AN31" s="12"/>
      <c r="AO31" s="12"/>
      <c r="AP31" s="12"/>
      <c r="AQ31" s="12"/>
      <c r="AR31" s="12"/>
      <c r="AS31" s="12"/>
      <c r="AT31" s="16"/>
      <c r="AU31" s="18"/>
    </row>
    <row r="32" customHeight="1" spans="1:47">
      <c r="A32" s="25" t="s">
        <v>42</v>
      </c>
      <c r="B32" s="9"/>
      <c r="C32" s="12" t="s">
        <v>4</v>
      </c>
      <c r="D32" s="12" t="s">
        <v>1</v>
      </c>
      <c r="E32" s="26" t="s">
        <v>1</v>
      </c>
      <c r="F32" s="26" t="s">
        <v>1</v>
      </c>
      <c r="G32" s="26" t="s">
        <v>4</v>
      </c>
      <c r="H32" s="26" t="s">
        <v>1</v>
      </c>
      <c r="I32" s="26" t="s">
        <v>4</v>
      </c>
      <c r="J32" s="16"/>
      <c r="K32" s="9"/>
      <c r="L32" s="12" t="s">
        <v>1</v>
      </c>
      <c r="M32" s="12"/>
      <c r="N32" s="12"/>
      <c r="O32" s="12"/>
      <c r="P32" s="12"/>
      <c r="Q32" s="12"/>
      <c r="R32" s="12"/>
      <c r="S32" s="16"/>
      <c r="T32" s="9"/>
      <c r="U32" s="12"/>
      <c r="V32" s="12"/>
      <c r="W32" s="12"/>
      <c r="X32" s="12"/>
      <c r="Y32" s="12"/>
      <c r="Z32" s="12"/>
      <c r="AA32" s="12"/>
      <c r="AB32" s="16"/>
      <c r="AC32" s="9"/>
      <c r="AD32" s="12"/>
      <c r="AE32" s="12"/>
      <c r="AF32" s="12"/>
      <c r="AG32" s="12"/>
      <c r="AH32" s="12"/>
      <c r="AI32" s="12"/>
      <c r="AJ32" s="12"/>
      <c r="AK32" s="16"/>
      <c r="AL32" s="9"/>
      <c r="AM32" s="33"/>
      <c r="AN32" s="12"/>
      <c r="AO32" s="12"/>
      <c r="AP32" s="12"/>
      <c r="AQ32" s="12"/>
      <c r="AR32" s="12"/>
      <c r="AS32" s="12"/>
      <c r="AT32" s="16"/>
      <c r="AU32" s="18"/>
    </row>
    <row r="33" customHeight="1" spans="1:47">
      <c r="A33" s="25" t="s">
        <v>43</v>
      </c>
      <c r="B33" s="9"/>
      <c r="C33" s="12" t="s">
        <v>0</v>
      </c>
      <c r="D33" s="12" t="s">
        <v>1</v>
      </c>
      <c r="E33" s="26" t="s">
        <v>1</v>
      </c>
      <c r="F33" s="26" t="s">
        <v>1</v>
      </c>
      <c r="G33" s="26" t="s">
        <v>4</v>
      </c>
      <c r="H33" s="26" t="s">
        <v>0</v>
      </c>
      <c r="I33" s="26" t="s">
        <v>2</v>
      </c>
      <c r="J33" s="16"/>
      <c r="K33" s="9"/>
      <c r="L33" s="12" t="s">
        <v>1</v>
      </c>
      <c r="M33" s="12"/>
      <c r="N33" s="12"/>
      <c r="O33" s="12"/>
      <c r="P33" s="12"/>
      <c r="Q33" s="12"/>
      <c r="R33" s="12"/>
      <c r="S33" s="16"/>
      <c r="T33" s="9"/>
      <c r="U33" s="12"/>
      <c r="V33" s="12"/>
      <c r="W33" s="12"/>
      <c r="X33" s="12"/>
      <c r="Y33" s="12"/>
      <c r="Z33" s="12"/>
      <c r="AA33" s="12"/>
      <c r="AB33" s="16"/>
      <c r="AC33" s="9"/>
      <c r="AD33" s="12"/>
      <c r="AE33" s="12"/>
      <c r="AF33" s="12"/>
      <c r="AG33" s="12"/>
      <c r="AH33" s="12"/>
      <c r="AI33" s="12"/>
      <c r="AJ33" s="12"/>
      <c r="AK33" s="16"/>
      <c r="AL33" s="9"/>
      <c r="AM33" s="33"/>
      <c r="AN33" s="12"/>
      <c r="AO33" s="12"/>
      <c r="AP33" s="12"/>
      <c r="AQ33" s="12"/>
      <c r="AR33" s="12"/>
      <c r="AS33" s="12"/>
      <c r="AT33" s="16"/>
      <c r="AU33" s="18"/>
    </row>
    <row r="34" customHeight="1" spans="1:47">
      <c r="A34" s="25" t="s">
        <v>44</v>
      </c>
      <c r="B34" s="9"/>
      <c r="C34" s="12" t="s">
        <v>0</v>
      </c>
      <c r="D34" s="12" t="s">
        <v>0</v>
      </c>
      <c r="E34" s="26" t="s">
        <v>4</v>
      </c>
      <c r="F34" s="26" t="s">
        <v>1</v>
      </c>
      <c r="G34" s="26" t="s">
        <v>1</v>
      </c>
      <c r="H34" s="26" t="s">
        <v>0</v>
      </c>
      <c r="I34" s="26" t="s">
        <v>2</v>
      </c>
      <c r="J34" s="16"/>
      <c r="K34" s="9"/>
      <c r="L34" s="12" t="s">
        <v>1</v>
      </c>
      <c r="M34" s="12"/>
      <c r="N34" s="12"/>
      <c r="O34" s="12"/>
      <c r="P34" s="12"/>
      <c r="Q34" s="12"/>
      <c r="R34" s="12"/>
      <c r="S34" s="16"/>
      <c r="T34" s="9"/>
      <c r="U34" s="12"/>
      <c r="V34" s="12"/>
      <c r="W34" s="12"/>
      <c r="X34" s="12"/>
      <c r="Y34" s="12"/>
      <c r="Z34" s="12"/>
      <c r="AA34" s="12"/>
      <c r="AB34" s="16"/>
      <c r="AC34" s="9"/>
      <c r="AD34" s="12"/>
      <c r="AE34" s="12"/>
      <c r="AF34" s="12"/>
      <c r="AG34" s="12"/>
      <c r="AH34" s="12"/>
      <c r="AI34" s="12"/>
      <c r="AJ34" s="12"/>
      <c r="AK34" s="16"/>
      <c r="AL34" s="9"/>
      <c r="AM34" s="33"/>
      <c r="AN34" s="12"/>
      <c r="AO34" s="12"/>
      <c r="AP34" s="12"/>
      <c r="AQ34" s="12"/>
      <c r="AR34" s="12"/>
      <c r="AS34" s="12"/>
      <c r="AT34" s="16"/>
      <c r="AU34" s="18"/>
    </row>
    <row r="35" customHeight="1" spans="1:47">
      <c r="A35" s="25" t="s">
        <v>45</v>
      </c>
      <c r="B35" s="9"/>
      <c r="C35" s="12" t="s">
        <v>2</v>
      </c>
      <c r="D35" s="12" t="s">
        <v>2</v>
      </c>
      <c r="E35" s="26" t="s">
        <v>1</v>
      </c>
      <c r="F35" s="26" t="s">
        <v>1</v>
      </c>
      <c r="G35" s="26" t="s">
        <v>0</v>
      </c>
      <c r="H35" s="26" t="s">
        <v>0</v>
      </c>
      <c r="I35" s="26" t="s">
        <v>2</v>
      </c>
      <c r="J35" s="16"/>
      <c r="K35" s="9"/>
      <c r="L35" s="12" t="s">
        <v>4</v>
      </c>
      <c r="M35" s="12"/>
      <c r="N35" s="12"/>
      <c r="O35" s="12"/>
      <c r="P35" s="12"/>
      <c r="Q35" s="12"/>
      <c r="R35" s="12"/>
      <c r="S35" s="16"/>
      <c r="T35" s="9"/>
      <c r="U35" s="12"/>
      <c r="V35" s="12"/>
      <c r="W35" s="12"/>
      <c r="X35" s="12"/>
      <c r="Y35" s="12"/>
      <c r="Z35" s="12"/>
      <c r="AA35" s="12"/>
      <c r="AB35" s="16"/>
      <c r="AC35" s="9"/>
      <c r="AD35" s="12"/>
      <c r="AE35" s="12"/>
      <c r="AF35" s="12"/>
      <c r="AG35" s="12"/>
      <c r="AH35" s="12"/>
      <c r="AI35" s="12"/>
      <c r="AJ35" s="12"/>
      <c r="AK35" s="16"/>
      <c r="AL35" s="9"/>
      <c r="AM35" s="33"/>
      <c r="AN35" s="12"/>
      <c r="AO35" s="12"/>
      <c r="AP35" s="12"/>
      <c r="AQ35" s="12"/>
      <c r="AR35" s="12"/>
      <c r="AS35" s="12"/>
      <c r="AT35" s="16"/>
      <c r="AU35" s="18"/>
    </row>
    <row r="36" customHeight="1" spans="1:47">
      <c r="A36" s="25" t="s">
        <v>46</v>
      </c>
      <c r="B36" s="9"/>
      <c r="C36" s="12" t="s">
        <v>2</v>
      </c>
      <c r="D36" s="12" t="s">
        <v>2</v>
      </c>
      <c r="E36" s="26" t="s">
        <v>2</v>
      </c>
      <c r="F36" s="26" t="s">
        <v>1</v>
      </c>
      <c r="G36" s="26" t="s">
        <v>2</v>
      </c>
      <c r="H36" s="26" t="s">
        <v>2</v>
      </c>
      <c r="I36" s="26" t="s">
        <v>2</v>
      </c>
      <c r="J36" s="16"/>
      <c r="K36" s="9"/>
      <c r="L36" s="12" t="s">
        <v>4</v>
      </c>
      <c r="M36" s="12"/>
      <c r="N36" s="12"/>
      <c r="O36" s="12"/>
      <c r="P36" s="12"/>
      <c r="Q36" s="12"/>
      <c r="R36" s="12"/>
      <c r="S36" s="16"/>
      <c r="T36" s="9"/>
      <c r="U36" s="12"/>
      <c r="V36" s="12"/>
      <c r="W36" s="12"/>
      <c r="X36" s="12"/>
      <c r="Y36" s="12"/>
      <c r="Z36" s="12"/>
      <c r="AA36" s="12"/>
      <c r="AB36" s="16"/>
      <c r="AC36" s="9"/>
      <c r="AD36" s="12"/>
      <c r="AE36" s="12"/>
      <c r="AF36" s="12"/>
      <c r="AG36" s="12"/>
      <c r="AH36" s="12"/>
      <c r="AI36" s="12"/>
      <c r="AJ36" s="12"/>
      <c r="AK36" s="16"/>
      <c r="AL36" s="9"/>
      <c r="AM36" s="33"/>
      <c r="AN36" s="12"/>
      <c r="AO36" s="12"/>
      <c r="AP36" s="12"/>
      <c r="AQ36" s="12"/>
      <c r="AR36" s="12"/>
      <c r="AS36" s="12"/>
      <c r="AT36" s="16"/>
      <c r="AU36" s="18"/>
    </row>
    <row r="37" customHeight="1" spans="1:47">
      <c r="A37" s="25" t="s">
        <v>47</v>
      </c>
      <c r="B37" s="9"/>
      <c r="C37" s="12" t="s">
        <v>4</v>
      </c>
      <c r="D37" s="12" t="s">
        <v>2</v>
      </c>
      <c r="E37" s="26" t="s">
        <v>2</v>
      </c>
      <c r="F37" s="26" t="s">
        <v>0</v>
      </c>
      <c r="G37" s="26" t="s">
        <v>2</v>
      </c>
      <c r="H37" s="26" t="s">
        <v>2</v>
      </c>
      <c r="I37" s="26" t="s">
        <v>2</v>
      </c>
      <c r="J37" s="13" t="s">
        <v>48</v>
      </c>
      <c r="K37" s="9"/>
      <c r="L37" s="12" t="s">
        <v>2</v>
      </c>
      <c r="M37" s="12"/>
      <c r="N37" s="12"/>
      <c r="O37" s="12"/>
      <c r="P37" s="12"/>
      <c r="Q37" s="12"/>
      <c r="R37" s="12"/>
      <c r="S37" s="13" t="s">
        <v>48</v>
      </c>
      <c r="T37" s="9"/>
      <c r="U37" s="12"/>
      <c r="V37" s="12"/>
      <c r="W37" s="12"/>
      <c r="X37" s="12"/>
      <c r="Y37" s="12"/>
      <c r="Z37" s="12"/>
      <c r="AA37" s="12"/>
      <c r="AB37" s="13" t="s">
        <v>48</v>
      </c>
      <c r="AC37" s="9"/>
      <c r="AD37" s="12"/>
      <c r="AE37" s="12"/>
      <c r="AF37" s="12"/>
      <c r="AG37" s="12"/>
      <c r="AH37" s="12"/>
      <c r="AI37" s="12"/>
      <c r="AJ37" s="12"/>
      <c r="AK37" s="13" t="s">
        <v>48</v>
      </c>
      <c r="AL37" s="9"/>
      <c r="AM37" s="33"/>
      <c r="AN37" s="12"/>
      <c r="AO37" s="12"/>
      <c r="AP37" s="12"/>
      <c r="AQ37" s="12"/>
      <c r="AR37" s="12"/>
      <c r="AS37" s="12"/>
      <c r="AT37" s="13" t="s">
        <v>48</v>
      </c>
      <c r="AU37" s="18"/>
    </row>
    <row r="38" customHeight="1" spans="1:47">
      <c r="A38" s="25" t="s">
        <v>49</v>
      </c>
      <c r="B38" s="9"/>
      <c r="C38" s="12" t="s">
        <v>0</v>
      </c>
      <c r="D38" s="12" t="s">
        <v>2</v>
      </c>
      <c r="E38" s="26" t="s">
        <v>2</v>
      </c>
      <c r="F38" s="26" t="s">
        <v>2</v>
      </c>
      <c r="G38" s="26" t="s">
        <v>2</v>
      </c>
      <c r="H38" s="26" t="s">
        <v>2</v>
      </c>
      <c r="I38" s="26" t="s">
        <v>2</v>
      </c>
      <c r="J38" s="17"/>
      <c r="K38" s="9"/>
      <c r="L38" s="12" t="s">
        <v>2</v>
      </c>
      <c r="M38" s="12"/>
      <c r="N38" s="12"/>
      <c r="O38" s="12"/>
      <c r="P38" s="12"/>
      <c r="Q38" s="12"/>
      <c r="R38" s="12"/>
      <c r="S38" s="17"/>
      <c r="T38" s="9"/>
      <c r="U38" s="12"/>
      <c r="V38" s="12"/>
      <c r="W38" s="12"/>
      <c r="X38" s="12"/>
      <c r="Y38" s="12"/>
      <c r="Z38" s="12"/>
      <c r="AA38" s="12"/>
      <c r="AB38" s="17"/>
      <c r="AC38" s="9"/>
      <c r="AD38" s="12"/>
      <c r="AE38" s="12"/>
      <c r="AF38" s="12"/>
      <c r="AG38" s="12"/>
      <c r="AH38" s="12"/>
      <c r="AI38" s="12"/>
      <c r="AJ38" s="12"/>
      <c r="AK38" s="17"/>
      <c r="AL38" s="9"/>
      <c r="AM38" s="33"/>
      <c r="AN38" s="12"/>
      <c r="AO38" s="12"/>
      <c r="AP38" s="12"/>
      <c r="AQ38" s="12"/>
      <c r="AR38" s="12"/>
      <c r="AS38" s="12"/>
      <c r="AT38" s="17"/>
      <c r="AU38" s="18"/>
    </row>
    <row r="39" customHeight="1" spans="1:47">
      <c r="A39" s="25" t="s">
        <v>50</v>
      </c>
      <c r="B39" s="9"/>
      <c r="C39" s="12" t="s">
        <v>2</v>
      </c>
      <c r="D39" s="12" t="s">
        <v>4</v>
      </c>
      <c r="E39" s="26" t="s">
        <v>2</v>
      </c>
      <c r="F39" s="26" t="s">
        <v>2</v>
      </c>
      <c r="G39" s="26" t="s">
        <v>2</v>
      </c>
      <c r="H39" s="26" t="s">
        <v>2</v>
      </c>
      <c r="I39" s="26" t="s">
        <v>2</v>
      </c>
      <c r="J39" s="17"/>
      <c r="K39" s="9"/>
      <c r="L39" s="12" t="s">
        <v>2</v>
      </c>
      <c r="M39" s="12"/>
      <c r="N39" s="12"/>
      <c r="O39" s="12"/>
      <c r="P39" s="12"/>
      <c r="Q39" s="12"/>
      <c r="R39" s="12"/>
      <c r="S39" s="17"/>
      <c r="T39" s="9"/>
      <c r="U39" s="12"/>
      <c r="V39" s="12"/>
      <c r="W39" s="12"/>
      <c r="X39" s="12"/>
      <c r="Y39" s="12"/>
      <c r="Z39" s="12"/>
      <c r="AA39" s="12"/>
      <c r="AB39" s="17"/>
      <c r="AC39" s="9"/>
      <c r="AD39" s="12"/>
      <c r="AE39" s="12"/>
      <c r="AF39" s="12"/>
      <c r="AG39" s="12"/>
      <c r="AH39" s="12"/>
      <c r="AI39" s="12"/>
      <c r="AJ39" s="12"/>
      <c r="AK39" s="17"/>
      <c r="AL39" s="9"/>
      <c r="AM39" s="33"/>
      <c r="AN39" s="12"/>
      <c r="AO39" s="12"/>
      <c r="AP39" s="12"/>
      <c r="AQ39" s="12"/>
      <c r="AR39" s="12"/>
      <c r="AS39" s="12"/>
      <c r="AT39" s="17"/>
      <c r="AU39" s="18"/>
    </row>
    <row r="40" customHeight="1" spans="1:47">
      <c r="A40" s="25" t="s">
        <v>51</v>
      </c>
      <c r="B40" s="9"/>
      <c r="C40" s="12" t="s">
        <v>2</v>
      </c>
      <c r="D40" s="12" t="s">
        <v>4</v>
      </c>
      <c r="E40" s="26" t="s">
        <v>2</v>
      </c>
      <c r="F40" s="26" t="s">
        <v>2</v>
      </c>
      <c r="G40" s="26" t="s">
        <v>2</v>
      </c>
      <c r="H40" s="26" t="s">
        <v>0</v>
      </c>
      <c r="I40" s="26" t="s">
        <v>2</v>
      </c>
      <c r="J40" s="17"/>
      <c r="K40" s="9"/>
      <c r="L40" s="12" t="s">
        <v>2</v>
      </c>
      <c r="M40" s="12"/>
      <c r="N40" s="12"/>
      <c r="O40" s="12"/>
      <c r="P40" s="12"/>
      <c r="Q40" s="12"/>
      <c r="R40" s="12"/>
      <c r="S40" s="17"/>
      <c r="T40" s="9"/>
      <c r="U40" s="12"/>
      <c r="V40" s="12"/>
      <c r="W40" s="12"/>
      <c r="X40" s="12"/>
      <c r="Y40" s="12"/>
      <c r="Z40" s="12"/>
      <c r="AA40" s="12"/>
      <c r="AB40" s="17"/>
      <c r="AC40" s="9"/>
      <c r="AD40" s="12"/>
      <c r="AE40" s="12"/>
      <c r="AF40" s="12"/>
      <c r="AG40" s="12"/>
      <c r="AH40" s="12"/>
      <c r="AI40" s="12"/>
      <c r="AJ40" s="12"/>
      <c r="AK40" s="17"/>
      <c r="AL40" s="9"/>
      <c r="AM40" s="33"/>
      <c r="AN40" s="12"/>
      <c r="AO40" s="12"/>
      <c r="AP40" s="12"/>
      <c r="AQ40" s="12"/>
      <c r="AR40" s="12"/>
      <c r="AS40" s="12"/>
      <c r="AT40" s="17"/>
      <c r="AU40" s="18"/>
    </row>
    <row r="41" customHeight="1" spans="1:47">
      <c r="A41" s="27" t="s">
        <v>52</v>
      </c>
      <c r="B41" s="9"/>
      <c r="C41">
        <f t="shared" ref="C41:I41" si="0">COUNTIF(C$7:C$40,"=拖延")</f>
        <v>10</v>
      </c>
      <c r="D41">
        <f t="shared" si="0"/>
        <v>6</v>
      </c>
      <c r="E41">
        <f t="shared" si="0"/>
        <v>8</v>
      </c>
      <c r="F41">
        <f t="shared" si="0"/>
        <v>6</v>
      </c>
      <c r="G41">
        <f t="shared" si="0"/>
        <v>4</v>
      </c>
      <c r="H41">
        <f t="shared" si="0"/>
        <v>7</v>
      </c>
      <c r="I41">
        <f t="shared" si="0"/>
        <v>6</v>
      </c>
      <c r="J41" s="32">
        <f t="shared" ref="J41:J45" si="1">SUM(C41:I41)</f>
        <v>47</v>
      </c>
      <c r="K41" s="9"/>
      <c r="L41">
        <f t="shared" ref="L41:R41" si="2">COUNTIF(L$7:L$40,"=拖延")</f>
        <v>4</v>
      </c>
      <c r="M41">
        <f t="shared" si="2"/>
        <v>0</v>
      </c>
      <c r="N41">
        <f t="shared" si="2"/>
        <v>0</v>
      </c>
      <c r="O41">
        <f t="shared" si="2"/>
        <v>0</v>
      </c>
      <c r="P41">
        <f t="shared" si="2"/>
        <v>0</v>
      </c>
      <c r="Q41">
        <f t="shared" si="2"/>
        <v>0</v>
      </c>
      <c r="R41">
        <f t="shared" si="2"/>
        <v>0</v>
      </c>
      <c r="S41" s="12">
        <f ca="1">SUM(L41:R41)</f>
        <v>4</v>
      </c>
      <c r="T41" s="9"/>
      <c r="U41">
        <f ca="1">COUNTIF(Sheet1!U$7:U$40,3)/2</f>
        <v>0</v>
      </c>
      <c r="V41">
        <f ca="1">COUNTIF(Sheet1!V$7:V$40,3)/2</f>
        <v>0</v>
      </c>
      <c r="W41">
        <f ca="1">COUNTIF(Sheet1!W$7:W$40,3)/2</f>
        <v>0</v>
      </c>
      <c r="X41">
        <f ca="1">COUNTIF(Sheet1!X$7:X$40,3)/2</f>
        <v>0</v>
      </c>
      <c r="Y41">
        <f ca="1">COUNTIF(Sheet1!Y$7:Y$40,3)/2</f>
        <v>0</v>
      </c>
      <c r="Z41">
        <f ca="1">COUNTIF(Sheet1!Z$7:Z$40,3)/2</f>
        <v>0</v>
      </c>
      <c r="AA41">
        <f ca="1">COUNTIF(Sheet1!AA$7:AA$40,3)/2</f>
        <v>0</v>
      </c>
      <c r="AB41" s="12">
        <f ca="1">SUM(U41:AA41)</f>
        <v>0</v>
      </c>
      <c r="AC41" s="9"/>
      <c r="AD41">
        <f ca="1">COUNTIF(Sheet1!AD$7:AD$40,3)/2</f>
        <v>0</v>
      </c>
      <c r="AE41">
        <f ca="1">COUNTIF(Sheet1!AE$7:AE$40,3)/2</f>
        <v>0</v>
      </c>
      <c r="AF41">
        <f ca="1">COUNTIF(Sheet1!AF$7:AF$40,3)/2</f>
        <v>0</v>
      </c>
      <c r="AG41">
        <f ca="1">COUNTIF(Sheet1!AG$7:AG$40,3)/2</f>
        <v>0</v>
      </c>
      <c r="AH41">
        <f ca="1">COUNTIF(Sheet1!AH$7:AH$40,3)/2</f>
        <v>0</v>
      </c>
      <c r="AI41">
        <f ca="1">COUNTIF(Sheet1!AI$7:AI$40,3)/2</f>
        <v>0</v>
      </c>
      <c r="AJ41">
        <f ca="1">COUNTIF(Sheet1!AJ$7:AJ$40,3)/2</f>
        <v>0</v>
      </c>
      <c r="AK41" s="12">
        <f ca="1">SUM(AD41:AJ41)</f>
        <v>0</v>
      </c>
      <c r="AL41" s="9"/>
      <c r="AM41">
        <f ca="1">COUNTIF(Sheet1!AM$7:AM$40,3)/2</f>
        <v>0</v>
      </c>
      <c r="AN41">
        <f ca="1">COUNTIF(Sheet1!AN$7:AN$40,3)/2</f>
        <v>0</v>
      </c>
      <c r="AO41">
        <f ca="1">COUNTIF(Sheet1!AO$7:AO$40,3)/2</f>
        <v>0</v>
      </c>
      <c r="AP41">
        <f ca="1">COUNTIF(Sheet1!AP$7:AP$40,3)/2</f>
        <v>0</v>
      </c>
      <c r="AQ41">
        <f ca="1">COUNTIF(Sheet1!AQ$7:AQ$40,3)/2</f>
        <v>0</v>
      </c>
      <c r="AR41">
        <f ca="1">COUNTIF(Sheet1!AR$7:AR$40,3)/2</f>
        <v>0</v>
      </c>
      <c r="AS41">
        <f ca="1">COUNTIF(Sheet1!AS$7:AS$40,3)/2</f>
        <v>0</v>
      </c>
      <c r="AT41" s="12">
        <f ca="1">SUM(AM41:AS41)</f>
        <v>0</v>
      </c>
      <c r="AU41">
        <f ca="1">SUM(J41,S41,AB41,AK41,AT41)</f>
        <v>51</v>
      </c>
    </row>
    <row r="42" customHeight="1" spans="1:47">
      <c r="A42" s="28" t="s">
        <v>1</v>
      </c>
      <c r="B42" s="9"/>
      <c r="C42">
        <f t="shared" ref="C42:I42" si="3">COUNTIF(C$7:C$40,"=强迫")</f>
        <v>6</v>
      </c>
      <c r="D42">
        <f t="shared" si="3"/>
        <v>8</v>
      </c>
      <c r="E42">
        <f t="shared" si="3"/>
        <v>12</v>
      </c>
      <c r="F42">
        <f t="shared" si="3"/>
        <v>8</v>
      </c>
      <c r="G42">
        <f t="shared" si="3"/>
        <v>4</v>
      </c>
      <c r="H42">
        <f t="shared" si="3"/>
        <v>4</v>
      </c>
      <c r="I42">
        <f t="shared" si="3"/>
        <v>6</v>
      </c>
      <c r="J42" s="32">
        <f t="shared" si="1"/>
        <v>48</v>
      </c>
      <c r="K42" s="9"/>
      <c r="L42">
        <f t="shared" ref="L42:R42" si="4">COUNTIF(L$7:L$40,"=强迫")</f>
        <v>8</v>
      </c>
      <c r="M42">
        <f t="shared" si="4"/>
        <v>0</v>
      </c>
      <c r="N42">
        <f t="shared" si="4"/>
        <v>0</v>
      </c>
      <c r="O42">
        <f t="shared" si="4"/>
        <v>0</v>
      </c>
      <c r="P42">
        <f t="shared" si="4"/>
        <v>0</v>
      </c>
      <c r="Q42">
        <f t="shared" si="4"/>
        <v>0</v>
      </c>
      <c r="R42">
        <f t="shared" si="4"/>
        <v>0</v>
      </c>
      <c r="S42" s="12">
        <f ca="1" t="shared" ref="S42:S45" si="5">SUM(L42:R42)</f>
        <v>8</v>
      </c>
      <c r="T42" s="9"/>
      <c r="U42">
        <f ca="1">COUNTIF(Sheet1!U$7:U$40,44)/2</f>
        <v>0</v>
      </c>
      <c r="V42">
        <f ca="1">COUNTIF(Sheet1!V$7:V$40,44)/2</f>
        <v>0</v>
      </c>
      <c r="W42">
        <f ca="1">COUNTIF(Sheet1!W$7:W$40,44)/2</f>
        <v>0</v>
      </c>
      <c r="X42">
        <f ca="1">COUNTIF(Sheet1!X$7:X$40,44)/2</f>
        <v>0</v>
      </c>
      <c r="Y42">
        <f ca="1">COUNTIF(Sheet1!Y$7:Y$40,44)/2</f>
        <v>0</v>
      </c>
      <c r="Z42">
        <f ca="1">COUNTIF(Sheet1!Z$7:Z$40,44)/2</f>
        <v>0</v>
      </c>
      <c r="AA42">
        <f ca="1">COUNTIF(Sheet1!AA$7:AA$40,44)/2</f>
        <v>0</v>
      </c>
      <c r="AB42" s="12">
        <f ca="1" t="shared" ref="AB42:AB45" si="6">SUM(U42:AA42)</f>
        <v>0</v>
      </c>
      <c r="AC42" s="9"/>
      <c r="AD42">
        <f ca="1">COUNTIF(Sheet1!AD$7:AD$40,44)/2</f>
        <v>0</v>
      </c>
      <c r="AE42">
        <f ca="1">COUNTIF(Sheet1!AE$7:AE$40,44)/2</f>
        <v>0</v>
      </c>
      <c r="AF42">
        <f ca="1">COUNTIF(Sheet1!AF$7:AF$40,44)/2</f>
        <v>0</v>
      </c>
      <c r="AG42">
        <f ca="1">COUNTIF(Sheet1!AG$7:AG$40,44)/2</f>
        <v>0</v>
      </c>
      <c r="AH42">
        <f ca="1">COUNTIF(Sheet1!AH$7:AH$40,44)/2</f>
        <v>0</v>
      </c>
      <c r="AI42">
        <f ca="1">COUNTIF(Sheet1!AI$7:AI$40,44)/2</f>
        <v>0</v>
      </c>
      <c r="AJ42">
        <f ca="1">COUNTIF(Sheet1!AJ$7:AJ$40,44)/2</f>
        <v>0</v>
      </c>
      <c r="AK42" s="12">
        <f ca="1" t="shared" ref="AK42:AK45" si="7">SUM(AD42:AJ42)</f>
        <v>0</v>
      </c>
      <c r="AL42" s="9"/>
      <c r="AM42">
        <f ca="1">COUNTIF(Sheet1!AM$7:AM$40,44)/2</f>
        <v>0</v>
      </c>
      <c r="AN42">
        <f ca="1">COUNTIF(Sheet1!AN$7:AN$40,44)/2</f>
        <v>0</v>
      </c>
      <c r="AO42">
        <f ca="1">COUNTIF(Sheet1!AO$7:AO$40,44)/2</f>
        <v>0</v>
      </c>
      <c r="AP42">
        <f ca="1">COUNTIF(Sheet1!AP$7:AP$40,44)/2</f>
        <v>0</v>
      </c>
      <c r="AQ42">
        <f ca="1">COUNTIF(Sheet1!AQ$7:AQ$40,44)/2</f>
        <v>0</v>
      </c>
      <c r="AR42">
        <f ca="1">COUNTIF(Sheet1!AR$7:AR$40,44)/2</f>
        <v>0</v>
      </c>
      <c r="AS42">
        <f ca="1">COUNTIF(Sheet1!AS$7:AS$40,44)/2</f>
        <v>0</v>
      </c>
      <c r="AT42" s="12">
        <f ca="1" t="shared" ref="AT42:AT45" si="8">SUM(AM42:AS42)</f>
        <v>0</v>
      </c>
      <c r="AU42">
        <f ca="1" t="shared" ref="AU42:AU45" si="9">SUM(J42,S42,AB42,AK42,AT42)</f>
        <v>56</v>
      </c>
    </row>
    <row r="43" customHeight="1" spans="1:47">
      <c r="A43" s="29" t="s">
        <v>2</v>
      </c>
      <c r="B43" s="9"/>
      <c r="C43">
        <f t="shared" ref="C43:I43" si="10">COUNTIF(C$7:C$40,"=高效")</f>
        <v>13</v>
      </c>
      <c r="D43">
        <f t="shared" si="10"/>
        <v>16</v>
      </c>
      <c r="E43">
        <f t="shared" si="10"/>
        <v>11</v>
      </c>
      <c r="F43">
        <f t="shared" si="10"/>
        <v>12</v>
      </c>
      <c r="G43">
        <f t="shared" si="10"/>
        <v>18</v>
      </c>
      <c r="H43">
        <f t="shared" si="10"/>
        <v>16</v>
      </c>
      <c r="I43">
        <f t="shared" si="10"/>
        <v>18</v>
      </c>
      <c r="J43" s="32">
        <f t="shared" si="1"/>
        <v>104</v>
      </c>
      <c r="K43" s="9"/>
      <c r="L43">
        <f t="shared" ref="L43:R43" si="11">COUNTIF(L$7:L$40,"=高效")</f>
        <v>16</v>
      </c>
      <c r="M43">
        <f t="shared" si="11"/>
        <v>0</v>
      </c>
      <c r="N43">
        <f t="shared" si="11"/>
        <v>0</v>
      </c>
      <c r="O43">
        <f t="shared" si="11"/>
        <v>0</v>
      </c>
      <c r="P43">
        <f t="shared" si="11"/>
        <v>0</v>
      </c>
      <c r="Q43">
        <f t="shared" si="11"/>
        <v>0</v>
      </c>
      <c r="R43">
        <f t="shared" si="11"/>
        <v>0</v>
      </c>
      <c r="S43" s="12">
        <f ca="1" t="shared" si="5"/>
        <v>16</v>
      </c>
      <c r="T43" s="9"/>
      <c r="U43">
        <f ca="1">COUNTIF(Sheet1!U$7:U$40,6)/2</f>
        <v>0</v>
      </c>
      <c r="V43">
        <f ca="1">COUNTIF(Sheet1!V$7:V$40,6)/2</f>
        <v>0</v>
      </c>
      <c r="W43">
        <f ca="1">COUNTIF(Sheet1!W$7:W$40,6)/2</f>
        <v>0</v>
      </c>
      <c r="X43">
        <f ca="1">COUNTIF(Sheet1!X$7:X$40,6)/2</f>
        <v>0</v>
      </c>
      <c r="Y43">
        <f ca="1">COUNTIF(Sheet1!Y$7:Y$40,6)/2</f>
        <v>0</v>
      </c>
      <c r="Z43">
        <f ca="1">COUNTIF(Sheet1!Z$7:Z$40,6)/2</f>
        <v>0</v>
      </c>
      <c r="AA43">
        <f ca="1">COUNTIF(Sheet1!AA$7:AA$40,6)/2</f>
        <v>0</v>
      </c>
      <c r="AB43" s="12">
        <f ca="1" t="shared" si="6"/>
        <v>0</v>
      </c>
      <c r="AC43" s="9"/>
      <c r="AD43">
        <f ca="1">COUNTIF(Sheet1!AD$7:AD$40,6)/2</f>
        <v>0</v>
      </c>
      <c r="AE43">
        <f ca="1">COUNTIF(Sheet1!AE$7:AE$40,6)/2</f>
        <v>0</v>
      </c>
      <c r="AF43">
        <f ca="1">COUNTIF(Sheet1!AF$7:AF$40,6)/2</f>
        <v>0</v>
      </c>
      <c r="AG43">
        <f ca="1">COUNTIF(Sheet1!AG$7:AG$40,6)/2</f>
        <v>0</v>
      </c>
      <c r="AH43">
        <f ca="1">COUNTIF(Sheet1!AH$7:AH$40,6)/2</f>
        <v>0</v>
      </c>
      <c r="AI43">
        <f ca="1">COUNTIF(Sheet1!AI$7:AI$40,6)/2</f>
        <v>0</v>
      </c>
      <c r="AJ43">
        <f ca="1">COUNTIF(Sheet1!AJ$7:AJ$40,6)/2</f>
        <v>0</v>
      </c>
      <c r="AK43" s="12">
        <f ca="1" t="shared" si="7"/>
        <v>0</v>
      </c>
      <c r="AL43" s="9"/>
      <c r="AM43">
        <f ca="1">COUNTIF(Sheet1!AM$7:AM$40,6)/2</f>
        <v>0</v>
      </c>
      <c r="AN43">
        <f ca="1">COUNTIF(Sheet1!AN$7:AN$40,6)/2</f>
        <v>0</v>
      </c>
      <c r="AO43">
        <f ca="1">COUNTIF(Sheet1!AO$7:AO$40,6)/2</f>
        <v>0</v>
      </c>
      <c r="AP43">
        <f ca="1">COUNTIF(Sheet1!AP$7:AP$40,6)/2</f>
        <v>0</v>
      </c>
      <c r="AQ43">
        <f ca="1">COUNTIF(Sheet1!AQ$7:AQ$40,6)/2</f>
        <v>0</v>
      </c>
      <c r="AR43">
        <f ca="1">COUNTIF(Sheet1!AR$7:AR$40,6)/2</f>
        <v>0</v>
      </c>
      <c r="AS43">
        <f ca="1">COUNTIF(Sheet1!AS$7:AS$40,6)/2</f>
        <v>0</v>
      </c>
      <c r="AT43" s="12">
        <f ca="1" t="shared" si="8"/>
        <v>0</v>
      </c>
      <c r="AU43">
        <f ca="1" t="shared" si="9"/>
        <v>120</v>
      </c>
    </row>
    <row r="44" customHeight="1" spans="1:47">
      <c r="A44" s="30" t="s">
        <v>3</v>
      </c>
      <c r="B44" s="9"/>
      <c r="C44">
        <f t="shared" ref="C44:I44" si="12">COUNTIF(C$7:C$40,"=娱乐")</f>
        <v>0</v>
      </c>
      <c r="D44">
        <f t="shared" si="12"/>
        <v>0</v>
      </c>
      <c r="E44">
        <f t="shared" si="12"/>
        <v>0</v>
      </c>
      <c r="F44">
        <f t="shared" si="12"/>
        <v>5</v>
      </c>
      <c r="G44">
        <f t="shared" si="12"/>
        <v>0</v>
      </c>
      <c r="H44">
        <f t="shared" si="12"/>
        <v>0</v>
      </c>
      <c r="I44">
        <f t="shared" si="12"/>
        <v>0</v>
      </c>
      <c r="J44" s="32">
        <f t="shared" si="1"/>
        <v>5</v>
      </c>
      <c r="K44" s="9"/>
      <c r="L44">
        <f t="shared" ref="L44:R44" si="13">COUNTIF(L$7:L$40,"=娱乐")</f>
        <v>0</v>
      </c>
      <c r="M44">
        <f t="shared" si="13"/>
        <v>0</v>
      </c>
      <c r="N44">
        <f t="shared" si="13"/>
        <v>0</v>
      </c>
      <c r="O44">
        <f t="shared" si="13"/>
        <v>0</v>
      </c>
      <c r="P44">
        <f t="shared" si="13"/>
        <v>0</v>
      </c>
      <c r="Q44">
        <f t="shared" si="13"/>
        <v>0</v>
      </c>
      <c r="R44">
        <f t="shared" si="13"/>
        <v>0</v>
      </c>
      <c r="S44" s="12">
        <f ca="1" t="shared" si="5"/>
        <v>0</v>
      </c>
      <c r="T44" s="9"/>
      <c r="U44">
        <f ca="1">COUNTIF(Sheet1!U$7:U$40,33)/2</f>
        <v>0</v>
      </c>
      <c r="V44">
        <f ca="1">COUNTIF(Sheet1!V$7:V$40,33)/2</f>
        <v>0</v>
      </c>
      <c r="W44">
        <f ca="1">COUNTIF(Sheet1!W$7:W$40,33)/2</f>
        <v>0</v>
      </c>
      <c r="X44">
        <f ca="1">COUNTIF(Sheet1!X$7:X$40,33)/2</f>
        <v>0</v>
      </c>
      <c r="Y44">
        <f ca="1">COUNTIF(Sheet1!Y$7:Y$40,33)/2</f>
        <v>0</v>
      </c>
      <c r="Z44">
        <f ca="1">COUNTIF(Sheet1!Z$7:Z$40,33)/2</f>
        <v>0</v>
      </c>
      <c r="AA44">
        <f ca="1">COUNTIF(Sheet1!AA$7:AA$40,33)/2</f>
        <v>0</v>
      </c>
      <c r="AB44" s="12">
        <f ca="1" t="shared" si="6"/>
        <v>0</v>
      </c>
      <c r="AC44" s="9"/>
      <c r="AD44">
        <f ca="1">COUNTIF(Sheet1!AD$7:AD$40,33)/2</f>
        <v>0</v>
      </c>
      <c r="AE44">
        <f ca="1">COUNTIF(Sheet1!AE$7:AE$40,33)/2</f>
        <v>0</v>
      </c>
      <c r="AF44">
        <f ca="1">COUNTIF(Sheet1!AF$7:AF$40,33)/2</f>
        <v>0</v>
      </c>
      <c r="AG44">
        <f ca="1">COUNTIF(Sheet1!AG$7:AG$40,33)/2</f>
        <v>0</v>
      </c>
      <c r="AH44">
        <f ca="1">COUNTIF(Sheet1!AH$7:AH$40,33)/2</f>
        <v>0</v>
      </c>
      <c r="AI44">
        <f ca="1">COUNTIF(Sheet1!AI$7:AI$40,33)/2</f>
        <v>0</v>
      </c>
      <c r="AJ44">
        <f ca="1">COUNTIF(Sheet1!AJ$7:AJ$40,33)/2</f>
        <v>0</v>
      </c>
      <c r="AK44" s="12">
        <f ca="1" t="shared" si="7"/>
        <v>0</v>
      </c>
      <c r="AL44" s="9"/>
      <c r="AM44">
        <f ca="1">COUNTIF(Sheet1!AM$7:AM$40,33)/2</f>
        <v>0</v>
      </c>
      <c r="AN44">
        <f ca="1">COUNTIF(Sheet1!AN$7:AN$40,33)/2</f>
        <v>0</v>
      </c>
      <c r="AO44">
        <f ca="1">COUNTIF(Sheet1!AO$7:AO$40,33)/2</f>
        <v>0</v>
      </c>
      <c r="AP44">
        <f ca="1">COUNTIF(Sheet1!AP$7:AP$40,33)/2</f>
        <v>0</v>
      </c>
      <c r="AQ44">
        <f ca="1">COUNTIF(Sheet1!AQ$7:AQ$40,33)/2</f>
        <v>0</v>
      </c>
      <c r="AR44">
        <f ca="1">COUNTIF(Sheet1!AR$7:AR$40,33)/2</f>
        <v>0</v>
      </c>
      <c r="AS44">
        <f ca="1">COUNTIF(Sheet1!AS$7:AS$40,33)/2</f>
        <v>0</v>
      </c>
      <c r="AT44" s="12">
        <f ca="1" t="shared" si="8"/>
        <v>0</v>
      </c>
      <c r="AU44">
        <f ca="1" t="shared" si="9"/>
        <v>5</v>
      </c>
    </row>
    <row r="45" customHeight="1" spans="1:47">
      <c r="A45" s="31" t="s">
        <v>4</v>
      </c>
      <c r="B45" s="9"/>
      <c r="C45">
        <f t="shared" ref="C45:I45" si="14">COUNTIF(C$7:C$40,"=休息")</f>
        <v>5</v>
      </c>
      <c r="D45">
        <f t="shared" si="14"/>
        <v>4</v>
      </c>
      <c r="E45">
        <f t="shared" si="14"/>
        <v>3</v>
      </c>
      <c r="F45">
        <f t="shared" si="14"/>
        <v>3</v>
      </c>
      <c r="G45">
        <f t="shared" si="14"/>
        <v>8</v>
      </c>
      <c r="H45">
        <f t="shared" si="14"/>
        <v>7</v>
      </c>
      <c r="I45">
        <f t="shared" si="14"/>
        <v>4</v>
      </c>
      <c r="J45" s="32">
        <f t="shared" si="1"/>
        <v>34</v>
      </c>
      <c r="K45" s="9"/>
      <c r="L45">
        <f t="shared" ref="L45:R45" si="15">COUNTIF(L$7:L$40,"=休息")</f>
        <v>6</v>
      </c>
      <c r="M45">
        <f t="shared" si="15"/>
        <v>0</v>
      </c>
      <c r="N45">
        <f t="shared" si="15"/>
        <v>0</v>
      </c>
      <c r="O45">
        <f t="shared" si="15"/>
        <v>0</v>
      </c>
      <c r="P45">
        <f t="shared" si="15"/>
        <v>0</v>
      </c>
      <c r="Q45">
        <f t="shared" si="15"/>
        <v>0</v>
      </c>
      <c r="R45">
        <f t="shared" si="15"/>
        <v>0</v>
      </c>
      <c r="S45" s="12">
        <f ca="1" t="shared" si="5"/>
        <v>6</v>
      </c>
      <c r="T45" s="9"/>
      <c r="U45">
        <f ca="1">17-U41-U42-U43-U44</f>
        <v>17</v>
      </c>
      <c r="V45">
        <f ca="1" t="shared" ref="V45:AA45" si="16">17-V41-V42-V43-V44</f>
        <v>17</v>
      </c>
      <c r="W45">
        <f ca="1" t="shared" si="16"/>
        <v>17</v>
      </c>
      <c r="X45">
        <f ca="1" t="shared" si="16"/>
        <v>17</v>
      </c>
      <c r="Y45">
        <f ca="1" t="shared" si="16"/>
        <v>17</v>
      </c>
      <c r="Z45">
        <f ca="1" t="shared" si="16"/>
        <v>17</v>
      </c>
      <c r="AA45">
        <f ca="1" t="shared" si="16"/>
        <v>17</v>
      </c>
      <c r="AB45" s="12">
        <f ca="1" t="shared" si="6"/>
        <v>119</v>
      </c>
      <c r="AC45" s="9"/>
      <c r="AD45">
        <f ca="1">17-AD41-AD42-AD43-AD44</f>
        <v>17</v>
      </c>
      <c r="AE45">
        <f ca="1" t="shared" ref="AE45:AJ45" si="17">17-AE41-AE42-AE43-AE44</f>
        <v>17</v>
      </c>
      <c r="AF45">
        <f ca="1" t="shared" si="17"/>
        <v>17</v>
      </c>
      <c r="AG45">
        <f ca="1" t="shared" si="17"/>
        <v>17</v>
      </c>
      <c r="AH45">
        <f ca="1" t="shared" si="17"/>
        <v>17</v>
      </c>
      <c r="AI45">
        <f ca="1" t="shared" si="17"/>
        <v>17</v>
      </c>
      <c r="AJ45">
        <f ca="1" t="shared" si="17"/>
        <v>17</v>
      </c>
      <c r="AK45" s="12">
        <f ca="1" t="shared" si="7"/>
        <v>119</v>
      </c>
      <c r="AL45" s="9"/>
      <c r="AM45">
        <f ca="1">17-AM41-AM42-AM43-AM44</f>
        <v>17</v>
      </c>
      <c r="AN45">
        <f ca="1" t="shared" ref="AN45:AS45" si="18">17-AN41-AN42-AN43-AN44</f>
        <v>17</v>
      </c>
      <c r="AO45">
        <f ca="1" t="shared" si="18"/>
        <v>17</v>
      </c>
      <c r="AP45">
        <f ca="1" t="shared" si="18"/>
        <v>17</v>
      </c>
      <c r="AQ45">
        <f ca="1" t="shared" si="18"/>
        <v>17</v>
      </c>
      <c r="AR45">
        <f ca="1" t="shared" si="18"/>
        <v>17</v>
      </c>
      <c r="AS45">
        <f ca="1" t="shared" si="18"/>
        <v>17</v>
      </c>
      <c r="AT45" s="12">
        <f ca="1" t="shared" si="8"/>
        <v>119</v>
      </c>
      <c r="AU45">
        <f ca="1" t="shared" si="9"/>
        <v>397</v>
      </c>
    </row>
    <row r="46" spans="9:9">
      <c r="I46" t="s">
        <v>53</v>
      </c>
    </row>
  </sheetData>
  <mergeCells count="31">
    <mergeCell ref="B6:B45"/>
    <mergeCell ref="J9:J11"/>
    <mergeCell ref="J13:J22"/>
    <mergeCell ref="J25:J29"/>
    <mergeCell ref="J31:J36"/>
    <mergeCell ref="J38:J40"/>
    <mergeCell ref="K6:K45"/>
    <mergeCell ref="S9:S11"/>
    <mergeCell ref="S13:S22"/>
    <mergeCell ref="S25:S29"/>
    <mergeCell ref="S31:S36"/>
    <mergeCell ref="S38:S40"/>
    <mergeCell ref="T6:T45"/>
    <mergeCell ref="AB9:AB11"/>
    <mergeCell ref="AB13:AB22"/>
    <mergeCell ref="AB25:AB29"/>
    <mergeCell ref="AB31:AB36"/>
    <mergeCell ref="AB38:AB40"/>
    <mergeCell ref="AC6:AC45"/>
    <mergeCell ref="AK9:AK11"/>
    <mergeCell ref="AK13:AK22"/>
    <mergeCell ref="AK25:AK29"/>
    <mergeCell ref="AK31:AK36"/>
    <mergeCell ref="AK38:AK40"/>
    <mergeCell ref="AL6:AL45"/>
    <mergeCell ref="AT9:AT11"/>
    <mergeCell ref="AT13:AT22"/>
    <mergeCell ref="AT25:AT29"/>
    <mergeCell ref="AT31:AT36"/>
    <mergeCell ref="AT38:AT40"/>
    <mergeCell ref="AU6:AU40"/>
  </mergeCells>
  <conditionalFormatting sqref="C7:D40">
    <cfRule type="cellIs" dxfId="0" priority="10" operator="equal">
      <formula>$A$1</formula>
    </cfRule>
    <cfRule type="cellIs" dxfId="1" priority="9" operator="equal">
      <formula>$A$3</formula>
    </cfRule>
    <cfRule type="cellIs" dxfId="2" priority="8" operator="equal">
      <formula>$A$2</formula>
    </cfRule>
    <cfRule type="cellIs" dxfId="3" priority="7" operator="equal">
      <formula>$A$4</formula>
    </cfRule>
    <cfRule type="cellIs" dxfId="4" priority="6" operator="equal">
      <formula>$A$5</formula>
    </cfRule>
  </conditionalFormatting>
  <conditionalFormatting sqref="E7:G40">
    <cfRule type="cellIs" dxfId="4" priority="36" operator="equal">
      <formula>$A$5</formula>
    </cfRule>
    <cfRule type="cellIs" dxfId="3" priority="37" operator="equal">
      <formula>$A$4</formula>
    </cfRule>
    <cfRule type="cellIs" dxfId="2" priority="38" operator="equal">
      <formula>$A$2</formula>
    </cfRule>
    <cfRule type="cellIs" dxfId="1" priority="39" operator="equal">
      <formula>$A$3</formula>
    </cfRule>
    <cfRule type="cellIs" dxfId="0" priority="40" operator="equal">
      <formula>$A$1</formula>
    </cfRule>
  </conditionalFormatting>
  <conditionalFormatting sqref="H7:I40">
    <cfRule type="cellIs" dxfId="0" priority="5" operator="equal">
      <formula>$A$1</formula>
    </cfRule>
    <cfRule type="cellIs" dxfId="1" priority="4" operator="equal">
      <formula>$A$3</formula>
    </cfRule>
    <cfRule type="cellIs" dxfId="2" priority="3" operator="equal">
      <formula>$A$2</formula>
    </cfRule>
    <cfRule type="cellIs" dxfId="3" priority="2" operator="equal">
      <formula>$A$4</formula>
    </cfRule>
    <cfRule type="cellIs" dxfId="4" priority="1" operator="equal">
      <formula>$A$5</formula>
    </cfRule>
  </conditionalFormatting>
  <conditionalFormatting sqref="L7:O40">
    <cfRule type="cellIs" dxfId="4" priority="26" operator="equal">
      <formula>$A$5</formula>
    </cfRule>
    <cfRule type="cellIs" dxfId="3" priority="27" operator="equal">
      <formula>$A$4</formula>
    </cfRule>
    <cfRule type="cellIs" dxfId="2" priority="28" operator="equal">
      <formula>$A$2</formula>
    </cfRule>
    <cfRule type="cellIs" dxfId="1" priority="29" operator="equal">
      <formula>$A$3</formula>
    </cfRule>
    <cfRule type="cellIs" dxfId="0" priority="30" operator="equal">
      <formula>$A$1</formula>
    </cfRule>
  </conditionalFormatting>
  <conditionalFormatting sqref="U7:X21 U28:X40 V22:X27">
    <cfRule type="cellIs" dxfId="4" priority="21" operator="equal">
      <formula>$A$5</formula>
    </cfRule>
    <cfRule type="cellIs" dxfId="3" priority="22" operator="equal">
      <formula>$A$4</formula>
    </cfRule>
    <cfRule type="cellIs" dxfId="2" priority="23" operator="equal">
      <formula>$A$2</formula>
    </cfRule>
    <cfRule type="cellIs" dxfId="1" priority="24" operator="equal">
      <formula>$A$3</formula>
    </cfRule>
    <cfRule type="cellIs" dxfId="0" priority="25" operator="equal">
      <formula>$A$1</formula>
    </cfRule>
  </conditionalFormatting>
  <conditionalFormatting sqref="AD7:AG40">
    <cfRule type="cellIs" dxfId="4" priority="16" operator="equal">
      <formula>$A$5</formula>
    </cfRule>
    <cfRule type="cellIs" dxfId="3" priority="17" operator="equal">
      <formula>$A$4</formula>
    </cfRule>
    <cfRule type="cellIs" dxfId="2" priority="18" operator="equal">
      <formula>$A$2</formula>
    </cfRule>
    <cfRule type="cellIs" dxfId="1" priority="19" operator="equal">
      <formula>$A$3</formula>
    </cfRule>
    <cfRule type="cellIs" dxfId="0" priority="20" operator="equal">
      <formula>$A$1</formula>
    </cfRule>
  </conditionalFormatting>
  <conditionalFormatting sqref="AM7:AP7 AM16:AP16 AM34:AP40 AM11:AP11 AN8:AP10 AN12:AP15 AN17:AP33">
    <cfRule type="cellIs" dxfId="4" priority="11" operator="equal">
      <formula>$A$5</formula>
    </cfRule>
    <cfRule type="cellIs" dxfId="3" priority="12" operator="equal">
      <formula>$A$4</formula>
    </cfRule>
    <cfRule type="cellIs" dxfId="2" priority="13" operator="equal">
      <formula>$A$2</formula>
    </cfRule>
    <cfRule type="cellIs" dxfId="1" priority="14" operator="equal">
      <formula>$A$3</formula>
    </cfRule>
    <cfRule type="cellIs" dxfId="0" priority="15" operator="equal">
      <formula>$A$1</formula>
    </cfRule>
  </conditionalFormatting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applyStyles="1" summaryRight="0"/>
  </sheetPr>
  <dimension ref="A1:AU45"/>
  <sheetViews>
    <sheetView workbookViewId="0">
      <pane xSplit="1" ySplit="6" topLeftCell="B22" activePane="bottomRight" state="frozen"/>
      <selection/>
      <selection pane="topRight"/>
      <selection pane="bottomLeft"/>
      <selection pane="bottomRight" activeCell="C41" sqref="C41:J45"/>
    </sheetView>
  </sheetViews>
  <sheetFormatPr defaultColWidth="9" defaultRowHeight="16.5"/>
  <cols>
    <col min="1" max="1" width="10.7777777777778" style="1" customWidth="1"/>
    <col min="2" max="2" width="7.77777777777778" style="2" customWidth="1"/>
    <col min="3" max="9" width="16.7777777777778" customWidth="1" outlineLevel="1"/>
    <col min="10" max="10" width="30.7777777777778" customWidth="1" outlineLevel="1"/>
    <col min="11" max="11" width="7.77777777777778" style="2" customWidth="1"/>
    <col min="12" max="18" width="16.7777777777778" customWidth="1" outlineLevel="1"/>
    <col min="19" max="19" width="30.7777777777778" customWidth="1" outlineLevel="1"/>
    <col min="20" max="20" width="7.77777777777778" style="2" customWidth="1"/>
    <col min="21" max="27" width="16.7777777777778" customWidth="1" outlineLevel="1"/>
    <col min="28" max="28" width="30.7777777777778" customWidth="1" outlineLevel="1"/>
    <col min="29" max="29" width="7.77777777777778" style="2" customWidth="1"/>
    <col min="30" max="36" width="16.7777777777778" customWidth="1" outlineLevel="1"/>
    <col min="37" max="37" width="30.7777777777778" customWidth="1" outlineLevel="1"/>
    <col min="38" max="38" width="7.77777777777778" style="2" customWidth="1"/>
    <col min="39" max="45" width="16.7777777777778" customWidth="1" outlineLevel="1"/>
    <col min="46" max="46" width="30.7777777777778" customWidth="1" outlineLevel="1"/>
    <col min="47" max="47" width="10.7777777777778" customWidth="1"/>
  </cols>
  <sheetData>
    <row r="1" hidden="1" spans="1:1">
      <c r="A1" s="3" t="s">
        <v>0</v>
      </c>
    </row>
    <row r="2" hidden="1" spans="1:1">
      <c r="A2" s="4" t="s">
        <v>1</v>
      </c>
    </row>
    <row r="3" hidden="1" spans="1:1">
      <c r="A3" s="5" t="s">
        <v>2</v>
      </c>
    </row>
    <row r="4" hidden="1" spans="1:1">
      <c r="A4" s="6" t="s">
        <v>3</v>
      </c>
    </row>
    <row r="5" hidden="1" spans="1:1">
      <c r="A5" s="7" t="s">
        <v>4</v>
      </c>
    </row>
    <row r="6" customHeight="1" spans="1:47">
      <c r="A6" s="8" t="s">
        <v>5</v>
      </c>
      <c r="B6" s="9" t="s">
        <v>6</v>
      </c>
      <c r="C6" s="10">
        <v>43958</v>
      </c>
      <c r="D6" s="10">
        <v>43959</v>
      </c>
      <c r="E6" s="10">
        <v>43960</v>
      </c>
      <c r="F6" s="10">
        <v>43961</v>
      </c>
      <c r="G6" s="10">
        <v>43962</v>
      </c>
      <c r="H6" s="10">
        <v>43963</v>
      </c>
      <c r="I6" s="10">
        <v>43964</v>
      </c>
      <c r="J6" s="13" t="s">
        <v>7</v>
      </c>
      <c r="K6" s="9" t="s">
        <v>8</v>
      </c>
      <c r="L6" s="14">
        <v>43108</v>
      </c>
      <c r="M6" s="14">
        <v>43109</v>
      </c>
      <c r="N6" s="14">
        <v>43110</v>
      </c>
      <c r="O6" s="14">
        <v>43111</v>
      </c>
      <c r="P6" s="14">
        <v>43112</v>
      </c>
      <c r="Q6" s="14">
        <v>43113</v>
      </c>
      <c r="R6" s="14">
        <v>43114</v>
      </c>
      <c r="S6" s="13" t="s">
        <v>7</v>
      </c>
      <c r="T6" s="9" t="s">
        <v>9</v>
      </c>
      <c r="U6" s="14">
        <v>43115</v>
      </c>
      <c r="V6" s="14">
        <v>43116</v>
      </c>
      <c r="W6" s="14">
        <v>43117</v>
      </c>
      <c r="X6" s="14">
        <v>43118</v>
      </c>
      <c r="Y6" s="14">
        <v>43119</v>
      </c>
      <c r="Z6" s="14">
        <v>43120</v>
      </c>
      <c r="AA6" s="14">
        <v>43121</v>
      </c>
      <c r="AB6" s="13" t="s">
        <v>7</v>
      </c>
      <c r="AC6" s="9" t="s">
        <v>10</v>
      </c>
      <c r="AD6" s="14">
        <v>43122</v>
      </c>
      <c r="AE6" s="14">
        <v>43123</v>
      </c>
      <c r="AF6" s="14">
        <v>43124</v>
      </c>
      <c r="AG6" s="14">
        <v>43125</v>
      </c>
      <c r="AH6" s="14">
        <v>43126</v>
      </c>
      <c r="AI6" s="14">
        <v>43127</v>
      </c>
      <c r="AJ6" s="14">
        <v>43128</v>
      </c>
      <c r="AK6" s="13" t="s">
        <v>7</v>
      </c>
      <c r="AL6" s="9" t="s">
        <v>11</v>
      </c>
      <c r="AM6" s="14">
        <v>43129</v>
      </c>
      <c r="AN6" s="14">
        <v>43130</v>
      </c>
      <c r="AO6" s="14">
        <v>43131</v>
      </c>
      <c r="AP6" s="14">
        <v>43132</v>
      </c>
      <c r="AQ6" s="14">
        <v>43133</v>
      </c>
      <c r="AR6" s="14">
        <v>43134</v>
      </c>
      <c r="AS6" s="14">
        <v>43135</v>
      </c>
      <c r="AT6" s="13" t="s">
        <v>7</v>
      </c>
      <c r="AU6" s="18" t="s">
        <v>12</v>
      </c>
    </row>
    <row r="7" customHeight="1" spans="1:47">
      <c r="A7" s="11" t="s">
        <v>13</v>
      </c>
      <c r="B7" s="9"/>
      <c r="C7" s="12" t="s">
        <v>0</v>
      </c>
      <c r="D7" s="12" t="s">
        <v>0</v>
      </c>
      <c r="E7" s="12" t="e">
        <f ca="1" t="shared" ref="C7:I16" si="0">AA</f>
        <v>#N/A</v>
      </c>
      <c r="F7" s="12" t="e">
        <f ca="1" t="shared" si="0"/>
        <v>#N/A</v>
      </c>
      <c r="G7" s="12" t="e">
        <f ca="1" t="shared" si="0"/>
        <v>#N/A</v>
      </c>
      <c r="H7" s="12" t="e">
        <f ca="1" t="shared" si="0"/>
        <v>#N/A</v>
      </c>
      <c r="I7" s="12" t="e">
        <f ca="1" t="shared" si="0"/>
        <v>#N/A</v>
      </c>
      <c r="J7" s="15"/>
      <c r="K7" s="9"/>
      <c r="L7" s="12" t="e">
        <f ca="1" t="shared" ref="L7:R16" si="1">AA</f>
        <v>#N/A</v>
      </c>
      <c r="M7" s="12" t="e">
        <f ca="1" t="shared" si="1"/>
        <v>#N/A</v>
      </c>
      <c r="N7" s="12" t="e">
        <f ca="1" t="shared" si="1"/>
        <v>#N/A</v>
      </c>
      <c r="O7" s="12" t="e">
        <f ca="1" t="shared" si="1"/>
        <v>#N/A</v>
      </c>
      <c r="P7" s="12" t="e">
        <f ca="1" t="shared" si="1"/>
        <v>#N/A</v>
      </c>
      <c r="Q7" s="12" t="e">
        <f ca="1" t="shared" si="1"/>
        <v>#N/A</v>
      </c>
      <c r="R7" s="12" t="e">
        <f ca="1" t="shared" si="1"/>
        <v>#N/A</v>
      </c>
      <c r="S7" s="15"/>
      <c r="T7" s="9"/>
      <c r="U7" t="e">
        <f ca="1" t="shared" ref="U7:AA16" si="2">AA</f>
        <v>#N/A</v>
      </c>
      <c r="V7" t="e">
        <f ca="1" t="shared" si="2"/>
        <v>#N/A</v>
      </c>
      <c r="W7" t="e">
        <f ca="1" t="shared" si="2"/>
        <v>#N/A</v>
      </c>
      <c r="X7" t="e">
        <f ca="1" t="shared" si="2"/>
        <v>#N/A</v>
      </c>
      <c r="Y7" t="e">
        <f ca="1" t="shared" si="2"/>
        <v>#N/A</v>
      </c>
      <c r="Z7" t="e">
        <f ca="1" t="shared" si="2"/>
        <v>#N/A</v>
      </c>
      <c r="AA7" t="e">
        <f ca="1" t="shared" si="2"/>
        <v>#N/A</v>
      </c>
      <c r="AB7" s="15"/>
      <c r="AC7" s="9"/>
      <c r="AD7" t="e">
        <f ca="1" t="shared" ref="AD7:AJ16" si="3">AA</f>
        <v>#N/A</v>
      </c>
      <c r="AE7" t="e">
        <f ca="1" t="shared" si="3"/>
        <v>#N/A</v>
      </c>
      <c r="AF7" t="e">
        <f ca="1" t="shared" si="3"/>
        <v>#N/A</v>
      </c>
      <c r="AG7" t="e">
        <f ca="1" t="shared" si="3"/>
        <v>#N/A</v>
      </c>
      <c r="AH7" t="e">
        <f ca="1" t="shared" si="3"/>
        <v>#N/A</v>
      </c>
      <c r="AI7" t="e">
        <f ca="1" t="shared" si="3"/>
        <v>#N/A</v>
      </c>
      <c r="AJ7" t="e">
        <f ca="1" t="shared" si="3"/>
        <v>#N/A</v>
      </c>
      <c r="AK7" s="15"/>
      <c r="AL7" s="9"/>
      <c r="AM7" t="e">
        <f ca="1" t="shared" ref="AM7:AS16" si="4">AA</f>
        <v>#N/A</v>
      </c>
      <c r="AN7" t="e">
        <f ca="1" t="shared" si="4"/>
        <v>#N/A</v>
      </c>
      <c r="AO7" t="e">
        <f ca="1" t="shared" si="4"/>
        <v>#N/A</v>
      </c>
      <c r="AP7" t="e">
        <f ca="1" t="shared" si="4"/>
        <v>#N/A</v>
      </c>
      <c r="AQ7" t="e">
        <f ca="1" t="shared" si="4"/>
        <v>#N/A</v>
      </c>
      <c r="AR7" t="e">
        <f ca="1" t="shared" si="4"/>
        <v>#N/A</v>
      </c>
      <c r="AS7" t="e">
        <f ca="1" t="shared" si="4"/>
        <v>#N/A</v>
      </c>
      <c r="AT7" s="15"/>
      <c r="AU7" s="18"/>
    </row>
    <row r="8" customHeight="1" spans="1:47">
      <c r="A8" s="11" t="s">
        <v>14</v>
      </c>
      <c r="B8" s="9"/>
      <c r="C8" s="12" t="s">
        <v>1</v>
      </c>
      <c r="D8" s="12" t="s">
        <v>0</v>
      </c>
      <c r="E8" s="12" t="e">
        <f ca="1" t="shared" si="0"/>
        <v>#N/A</v>
      </c>
      <c r="F8" s="12" t="e">
        <f ca="1" t="shared" si="0"/>
        <v>#N/A</v>
      </c>
      <c r="G8" s="12" t="e">
        <f ca="1" t="shared" si="0"/>
        <v>#N/A</v>
      </c>
      <c r="H8" s="12" t="e">
        <f ca="1" t="shared" si="0"/>
        <v>#N/A</v>
      </c>
      <c r="I8" s="12" t="e">
        <f ca="1" t="shared" si="0"/>
        <v>#N/A</v>
      </c>
      <c r="J8" s="13" t="s">
        <v>15</v>
      </c>
      <c r="K8" s="9"/>
      <c r="L8" s="12" t="e">
        <f ca="1" t="shared" si="1"/>
        <v>#N/A</v>
      </c>
      <c r="M8" s="12" t="e">
        <f ca="1" t="shared" si="1"/>
        <v>#N/A</v>
      </c>
      <c r="N8" s="12" t="e">
        <f ca="1" t="shared" si="1"/>
        <v>#N/A</v>
      </c>
      <c r="O8" s="12" t="e">
        <f ca="1" t="shared" si="1"/>
        <v>#N/A</v>
      </c>
      <c r="P8" s="12" t="e">
        <f ca="1" t="shared" si="1"/>
        <v>#N/A</v>
      </c>
      <c r="Q8" s="12" t="e">
        <f ca="1" t="shared" si="1"/>
        <v>#N/A</v>
      </c>
      <c r="R8" s="12" t="e">
        <f ca="1" t="shared" si="1"/>
        <v>#N/A</v>
      </c>
      <c r="S8" s="13" t="s">
        <v>15</v>
      </c>
      <c r="T8" s="9"/>
      <c r="U8" t="e">
        <f ca="1" t="shared" si="2"/>
        <v>#N/A</v>
      </c>
      <c r="V8" t="e">
        <f ca="1" t="shared" si="2"/>
        <v>#N/A</v>
      </c>
      <c r="W8" t="e">
        <f ca="1" t="shared" si="2"/>
        <v>#N/A</v>
      </c>
      <c r="X8" t="e">
        <f ca="1" t="shared" si="2"/>
        <v>#N/A</v>
      </c>
      <c r="Y8" t="e">
        <f ca="1" t="shared" si="2"/>
        <v>#N/A</v>
      </c>
      <c r="Z8" t="e">
        <f ca="1" t="shared" si="2"/>
        <v>#N/A</v>
      </c>
      <c r="AA8" t="e">
        <f ca="1" t="shared" si="2"/>
        <v>#N/A</v>
      </c>
      <c r="AB8" s="13" t="s">
        <v>15</v>
      </c>
      <c r="AC8" s="9"/>
      <c r="AD8" t="e">
        <f ca="1" t="shared" si="3"/>
        <v>#N/A</v>
      </c>
      <c r="AE8" t="e">
        <f ca="1" t="shared" si="3"/>
        <v>#N/A</v>
      </c>
      <c r="AF8" t="e">
        <f ca="1" t="shared" si="3"/>
        <v>#N/A</v>
      </c>
      <c r="AG8" t="e">
        <f ca="1" t="shared" si="3"/>
        <v>#N/A</v>
      </c>
      <c r="AH8" t="e">
        <f ca="1" t="shared" si="3"/>
        <v>#N/A</v>
      </c>
      <c r="AI8" t="e">
        <f ca="1" t="shared" si="3"/>
        <v>#N/A</v>
      </c>
      <c r="AJ8" t="e">
        <f ca="1" t="shared" si="3"/>
        <v>#N/A</v>
      </c>
      <c r="AK8" s="13" t="s">
        <v>15</v>
      </c>
      <c r="AL8" s="9"/>
      <c r="AM8" t="e">
        <f ca="1" t="shared" si="4"/>
        <v>#N/A</v>
      </c>
      <c r="AN8" t="e">
        <f ca="1" t="shared" si="4"/>
        <v>#N/A</v>
      </c>
      <c r="AO8" t="e">
        <f ca="1" t="shared" si="4"/>
        <v>#N/A</v>
      </c>
      <c r="AP8" t="e">
        <f ca="1" t="shared" si="4"/>
        <v>#N/A</v>
      </c>
      <c r="AQ8" t="e">
        <f ca="1" t="shared" si="4"/>
        <v>#N/A</v>
      </c>
      <c r="AR8" t="e">
        <f ca="1" t="shared" si="4"/>
        <v>#N/A</v>
      </c>
      <c r="AS8" t="e">
        <f ca="1" t="shared" si="4"/>
        <v>#N/A</v>
      </c>
      <c r="AT8" s="13" t="s">
        <v>15</v>
      </c>
      <c r="AU8" s="18"/>
    </row>
    <row r="9" customHeight="1" spans="1:47">
      <c r="A9" s="11" t="s">
        <v>16</v>
      </c>
      <c r="B9" s="9"/>
      <c r="C9" s="12" t="s">
        <v>1</v>
      </c>
      <c r="D9" s="12" t="s">
        <v>0</v>
      </c>
      <c r="E9" s="12" t="e">
        <f ca="1" t="shared" si="0"/>
        <v>#N/A</v>
      </c>
      <c r="F9" s="12" t="e">
        <f ca="1" t="shared" si="0"/>
        <v>#N/A</v>
      </c>
      <c r="G9" s="12" t="e">
        <f ca="1" t="shared" si="0"/>
        <v>#N/A</v>
      </c>
      <c r="H9" s="12" t="e">
        <f ca="1" t="shared" si="0"/>
        <v>#N/A</v>
      </c>
      <c r="I9" s="12" t="e">
        <f ca="1" t="shared" si="0"/>
        <v>#N/A</v>
      </c>
      <c r="J9" s="15"/>
      <c r="K9" s="9"/>
      <c r="L9" s="12" t="e">
        <f ca="1" t="shared" si="1"/>
        <v>#N/A</v>
      </c>
      <c r="M9" s="12" t="e">
        <f ca="1" t="shared" si="1"/>
        <v>#N/A</v>
      </c>
      <c r="N9" s="12" t="e">
        <f ca="1" t="shared" si="1"/>
        <v>#N/A</v>
      </c>
      <c r="O9" s="12" t="e">
        <f ca="1" t="shared" si="1"/>
        <v>#N/A</v>
      </c>
      <c r="P9" s="12" t="e">
        <f ca="1" t="shared" si="1"/>
        <v>#N/A</v>
      </c>
      <c r="Q9" s="12" t="e">
        <f ca="1" t="shared" si="1"/>
        <v>#N/A</v>
      </c>
      <c r="R9" s="12" t="e">
        <f ca="1" t="shared" si="1"/>
        <v>#N/A</v>
      </c>
      <c r="S9" s="15"/>
      <c r="T9" s="9"/>
      <c r="U9" t="e">
        <f ca="1" t="shared" si="2"/>
        <v>#N/A</v>
      </c>
      <c r="V9" t="e">
        <f ca="1" t="shared" si="2"/>
        <v>#N/A</v>
      </c>
      <c r="W9" t="e">
        <f ca="1" t="shared" si="2"/>
        <v>#N/A</v>
      </c>
      <c r="X9" t="e">
        <f ca="1" t="shared" si="2"/>
        <v>#N/A</v>
      </c>
      <c r="Y9" t="e">
        <f ca="1" t="shared" si="2"/>
        <v>#N/A</v>
      </c>
      <c r="Z9" t="e">
        <f ca="1" t="shared" si="2"/>
        <v>#N/A</v>
      </c>
      <c r="AA9" t="e">
        <f ca="1" t="shared" si="2"/>
        <v>#N/A</v>
      </c>
      <c r="AB9" s="15"/>
      <c r="AC9" s="9"/>
      <c r="AD9" t="e">
        <f ca="1" t="shared" si="3"/>
        <v>#N/A</v>
      </c>
      <c r="AE9" t="e">
        <f ca="1" t="shared" si="3"/>
        <v>#N/A</v>
      </c>
      <c r="AF9" t="e">
        <f ca="1" t="shared" si="3"/>
        <v>#N/A</v>
      </c>
      <c r="AG9" t="e">
        <f ca="1" t="shared" si="3"/>
        <v>#N/A</v>
      </c>
      <c r="AH9" t="e">
        <f ca="1" t="shared" si="3"/>
        <v>#N/A</v>
      </c>
      <c r="AI9" t="e">
        <f ca="1" t="shared" si="3"/>
        <v>#N/A</v>
      </c>
      <c r="AJ9" t="e">
        <f ca="1" t="shared" si="3"/>
        <v>#N/A</v>
      </c>
      <c r="AK9" s="15"/>
      <c r="AL9" s="9"/>
      <c r="AM9" t="e">
        <f ca="1" t="shared" si="4"/>
        <v>#N/A</v>
      </c>
      <c r="AN9" t="e">
        <f ca="1" t="shared" si="4"/>
        <v>#N/A</v>
      </c>
      <c r="AO9" t="e">
        <f ca="1" t="shared" si="4"/>
        <v>#N/A</v>
      </c>
      <c r="AP9" t="e">
        <f ca="1" t="shared" si="4"/>
        <v>#N/A</v>
      </c>
      <c r="AQ9" t="e">
        <f ca="1" t="shared" si="4"/>
        <v>#N/A</v>
      </c>
      <c r="AR9" t="e">
        <f ca="1" t="shared" si="4"/>
        <v>#N/A</v>
      </c>
      <c r="AS9" t="e">
        <f ca="1" t="shared" si="4"/>
        <v>#N/A</v>
      </c>
      <c r="AT9" s="15"/>
      <c r="AU9" s="18"/>
    </row>
    <row r="10" customHeight="1" spans="1:47">
      <c r="A10" s="11" t="s">
        <v>17</v>
      </c>
      <c r="B10" s="9"/>
      <c r="C10" s="12" t="s">
        <v>0</v>
      </c>
      <c r="D10" s="12" t="s">
        <v>0</v>
      </c>
      <c r="E10" s="12" t="e">
        <f ca="1" t="shared" si="0"/>
        <v>#N/A</v>
      </c>
      <c r="F10" s="12" t="e">
        <f ca="1" t="shared" si="0"/>
        <v>#N/A</v>
      </c>
      <c r="G10" s="12" t="e">
        <f ca="1" t="shared" si="0"/>
        <v>#N/A</v>
      </c>
      <c r="H10" s="12" t="e">
        <f ca="1" t="shared" si="0"/>
        <v>#N/A</v>
      </c>
      <c r="I10" s="12" t="e">
        <f ca="1" t="shared" si="0"/>
        <v>#N/A</v>
      </c>
      <c r="J10" s="15"/>
      <c r="K10" s="9"/>
      <c r="L10" s="12" t="e">
        <f ca="1" t="shared" si="1"/>
        <v>#N/A</v>
      </c>
      <c r="M10" s="12" t="e">
        <f ca="1" t="shared" si="1"/>
        <v>#N/A</v>
      </c>
      <c r="N10" s="12" t="e">
        <f ca="1" t="shared" si="1"/>
        <v>#N/A</v>
      </c>
      <c r="O10" s="12" t="e">
        <f ca="1" t="shared" si="1"/>
        <v>#N/A</v>
      </c>
      <c r="P10" s="12" t="e">
        <f ca="1" t="shared" si="1"/>
        <v>#N/A</v>
      </c>
      <c r="Q10" s="12" t="e">
        <f ca="1" t="shared" si="1"/>
        <v>#N/A</v>
      </c>
      <c r="R10" s="12" t="e">
        <f ca="1" t="shared" si="1"/>
        <v>#N/A</v>
      </c>
      <c r="S10" s="15"/>
      <c r="T10" s="9"/>
      <c r="U10" t="e">
        <f ca="1" t="shared" si="2"/>
        <v>#N/A</v>
      </c>
      <c r="V10" t="e">
        <f ca="1" t="shared" si="2"/>
        <v>#N/A</v>
      </c>
      <c r="W10" t="e">
        <f ca="1" t="shared" si="2"/>
        <v>#N/A</v>
      </c>
      <c r="X10" t="e">
        <f ca="1" t="shared" si="2"/>
        <v>#N/A</v>
      </c>
      <c r="Y10" t="e">
        <f ca="1" t="shared" si="2"/>
        <v>#N/A</v>
      </c>
      <c r="Z10" t="e">
        <f ca="1" t="shared" si="2"/>
        <v>#N/A</v>
      </c>
      <c r="AA10" t="e">
        <f ca="1" t="shared" si="2"/>
        <v>#N/A</v>
      </c>
      <c r="AB10" s="15"/>
      <c r="AC10" s="9"/>
      <c r="AD10" t="e">
        <f ca="1" t="shared" si="3"/>
        <v>#N/A</v>
      </c>
      <c r="AE10" t="e">
        <f ca="1" t="shared" si="3"/>
        <v>#N/A</v>
      </c>
      <c r="AF10" t="e">
        <f ca="1" t="shared" si="3"/>
        <v>#N/A</v>
      </c>
      <c r="AG10" t="e">
        <f ca="1" t="shared" si="3"/>
        <v>#N/A</v>
      </c>
      <c r="AH10" t="e">
        <f ca="1" t="shared" si="3"/>
        <v>#N/A</v>
      </c>
      <c r="AI10" t="e">
        <f ca="1" t="shared" si="3"/>
        <v>#N/A</v>
      </c>
      <c r="AJ10" t="e">
        <f ca="1" t="shared" si="3"/>
        <v>#N/A</v>
      </c>
      <c r="AK10" s="15"/>
      <c r="AL10" s="9"/>
      <c r="AM10" t="e">
        <f ca="1" t="shared" si="4"/>
        <v>#N/A</v>
      </c>
      <c r="AN10" t="e">
        <f ca="1" t="shared" si="4"/>
        <v>#N/A</v>
      </c>
      <c r="AO10" t="e">
        <f ca="1" t="shared" si="4"/>
        <v>#N/A</v>
      </c>
      <c r="AP10" t="e">
        <f ca="1" t="shared" si="4"/>
        <v>#N/A</v>
      </c>
      <c r="AQ10" t="e">
        <f ca="1" t="shared" si="4"/>
        <v>#N/A</v>
      </c>
      <c r="AR10" t="e">
        <f ca="1" t="shared" si="4"/>
        <v>#N/A</v>
      </c>
      <c r="AS10" t="e">
        <f ca="1" t="shared" si="4"/>
        <v>#N/A</v>
      </c>
      <c r="AT10" s="15"/>
      <c r="AU10" s="18"/>
    </row>
    <row r="11" customHeight="1" spans="1:47">
      <c r="A11" s="11" t="s">
        <v>18</v>
      </c>
      <c r="B11" s="9"/>
      <c r="C11" s="12" t="s">
        <v>0</v>
      </c>
      <c r="D11" s="12" t="s">
        <v>1</v>
      </c>
      <c r="E11" s="12" t="e">
        <f ca="1" t="shared" si="0"/>
        <v>#N/A</v>
      </c>
      <c r="F11" s="12" t="e">
        <f ca="1" t="shared" si="0"/>
        <v>#N/A</v>
      </c>
      <c r="G11" s="12" t="e">
        <f ca="1" t="shared" si="0"/>
        <v>#N/A</v>
      </c>
      <c r="H11" s="12" t="e">
        <f ca="1" t="shared" si="0"/>
        <v>#N/A</v>
      </c>
      <c r="I11" s="12" t="e">
        <f ca="1" t="shared" si="0"/>
        <v>#N/A</v>
      </c>
      <c r="J11" s="15"/>
      <c r="K11" s="9"/>
      <c r="L11" s="12" t="e">
        <f ca="1" t="shared" si="1"/>
        <v>#N/A</v>
      </c>
      <c r="M11" s="12" t="e">
        <f ca="1" t="shared" si="1"/>
        <v>#N/A</v>
      </c>
      <c r="N11" s="12" t="e">
        <f ca="1" t="shared" si="1"/>
        <v>#N/A</v>
      </c>
      <c r="O11" s="12" t="e">
        <f ca="1" t="shared" si="1"/>
        <v>#N/A</v>
      </c>
      <c r="P11" s="12" t="e">
        <f ca="1" t="shared" si="1"/>
        <v>#N/A</v>
      </c>
      <c r="Q11" s="12" t="e">
        <f ca="1" t="shared" si="1"/>
        <v>#N/A</v>
      </c>
      <c r="R11" s="12" t="e">
        <f ca="1" t="shared" si="1"/>
        <v>#N/A</v>
      </c>
      <c r="S11" s="15"/>
      <c r="T11" s="9"/>
      <c r="U11" t="e">
        <f ca="1" t="shared" si="2"/>
        <v>#N/A</v>
      </c>
      <c r="V11" t="e">
        <f ca="1" t="shared" si="2"/>
        <v>#N/A</v>
      </c>
      <c r="W11" t="e">
        <f ca="1" t="shared" si="2"/>
        <v>#N/A</v>
      </c>
      <c r="X11" t="e">
        <f ca="1" t="shared" si="2"/>
        <v>#N/A</v>
      </c>
      <c r="Y11" t="e">
        <f ca="1" t="shared" si="2"/>
        <v>#N/A</v>
      </c>
      <c r="Z11" t="e">
        <f ca="1" t="shared" si="2"/>
        <v>#N/A</v>
      </c>
      <c r="AA11" t="e">
        <f ca="1" t="shared" si="2"/>
        <v>#N/A</v>
      </c>
      <c r="AB11" s="15"/>
      <c r="AC11" s="9"/>
      <c r="AD11" t="e">
        <f ca="1" t="shared" si="3"/>
        <v>#N/A</v>
      </c>
      <c r="AE11" t="e">
        <f ca="1" t="shared" si="3"/>
        <v>#N/A</v>
      </c>
      <c r="AF11" t="e">
        <f ca="1" t="shared" si="3"/>
        <v>#N/A</v>
      </c>
      <c r="AG11" t="e">
        <f ca="1" t="shared" si="3"/>
        <v>#N/A</v>
      </c>
      <c r="AH11" t="e">
        <f ca="1" t="shared" si="3"/>
        <v>#N/A</v>
      </c>
      <c r="AI11" t="e">
        <f ca="1" t="shared" si="3"/>
        <v>#N/A</v>
      </c>
      <c r="AJ11" t="e">
        <f ca="1" t="shared" si="3"/>
        <v>#N/A</v>
      </c>
      <c r="AK11" s="15"/>
      <c r="AL11" s="9"/>
      <c r="AM11" t="e">
        <f ca="1" t="shared" si="4"/>
        <v>#N/A</v>
      </c>
      <c r="AN11" t="e">
        <f ca="1" t="shared" si="4"/>
        <v>#N/A</v>
      </c>
      <c r="AO11" t="e">
        <f ca="1" t="shared" si="4"/>
        <v>#N/A</v>
      </c>
      <c r="AP11" t="e">
        <f ca="1" t="shared" si="4"/>
        <v>#N/A</v>
      </c>
      <c r="AQ11" t="e">
        <f ca="1" t="shared" si="4"/>
        <v>#N/A</v>
      </c>
      <c r="AR11" t="e">
        <f ca="1" t="shared" si="4"/>
        <v>#N/A</v>
      </c>
      <c r="AS11" t="e">
        <f ca="1" t="shared" si="4"/>
        <v>#N/A</v>
      </c>
      <c r="AT11" s="15"/>
      <c r="AU11" s="18"/>
    </row>
    <row r="12" customHeight="1" spans="1:47">
      <c r="A12" s="11" t="s">
        <v>19</v>
      </c>
      <c r="B12" s="9"/>
      <c r="C12" s="12" t="s">
        <v>0</v>
      </c>
      <c r="D12" s="12" t="s">
        <v>1</v>
      </c>
      <c r="E12" s="12" t="e">
        <f ca="1" t="shared" si="0"/>
        <v>#N/A</v>
      </c>
      <c r="F12" s="12" t="e">
        <f ca="1" t="shared" si="0"/>
        <v>#N/A</v>
      </c>
      <c r="G12" s="12" t="e">
        <f ca="1" t="shared" si="0"/>
        <v>#N/A</v>
      </c>
      <c r="H12" s="12" t="e">
        <f ca="1" t="shared" si="0"/>
        <v>#N/A</v>
      </c>
      <c r="I12" s="12" t="e">
        <f ca="1" t="shared" si="0"/>
        <v>#N/A</v>
      </c>
      <c r="J12" s="13" t="s">
        <v>20</v>
      </c>
      <c r="K12" s="9"/>
      <c r="L12" s="12" t="e">
        <f ca="1" t="shared" si="1"/>
        <v>#N/A</v>
      </c>
      <c r="M12" s="12" t="e">
        <f ca="1" t="shared" si="1"/>
        <v>#N/A</v>
      </c>
      <c r="N12" s="12" t="e">
        <f ca="1" t="shared" si="1"/>
        <v>#N/A</v>
      </c>
      <c r="O12" s="12" t="e">
        <f ca="1" t="shared" si="1"/>
        <v>#N/A</v>
      </c>
      <c r="P12" s="12" t="e">
        <f ca="1" t="shared" si="1"/>
        <v>#N/A</v>
      </c>
      <c r="Q12" s="12" t="e">
        <f ca="1" t="shared" si="1"/>
        <v>#N/A</v>
      </c>
      <c r="R12" s="12" t="e">
        <f ca="1" t="shared" si="1"/>
        <v>#N/A</v>
      </c>
      <c r="S12" s="13" t="s">
        <v>20</v>
      </c>
      <c r="T12" s="9"/>
      <c r="U12" t="e">
        <f ca="1" t="shared" si="2"/>
        <v>#N/A</v>
      </c>
      <c r="V12" t="e">
        <f ca="1" t="shared" si="2"/>
        <v>#N/A</v>
      </c>
      <c r="W12" t="e">
        <f ca="1" t="shared" si="2"/>
        <v>#N/A</v>
      </c>
      <c r="X12" t="e">
        <f ca="1" t="shared" si="2"/>
        <v>#N/A</v>
      </c>
      <c r="Y12" t="e">
        <f ca="1" t="shared" si="2"/>
        <v>#N/A</v>
      </c>
      <c r="Z12" t="e">
        <f ca="1" t="shared" si="2"/>
        <v>#N/A</v>
      </c>
      <c r="AA12" t="e">
        <f ca="1" t="shared" si="2"/>
        <v>#N/A</v>
      </c>
      <c r="AB12" s="13" t="s">
        <v>20</v>
      </c>
      <c r="AC12" s="9"/>
      <c r="AD12" t="e">
        <f ca="1" t="shared" si="3"/>
        <v>#N/A</v>
      </c>
      <c r="AE12" t="e">
        <f ca="1" t="shared" si="3"/>
        <v>#N/A</v>
      </c>
      <c r="AF12" t="e">
        <f ca="1" t="shared" si="3"/>
        <v>#N/A</v>
      </c>
      <c r="AG12" t="e">
        <f ca="1" t="shared" si="3"/>
        <v>#N/A</v>
      </c>
      <c r="AH12" t="e">
        <f ca="1" t="shared" si="3"/>
        <v>#N/A</v>
      </c>
      <c r="AI12" t="e">
        <f ca="1" t="shared" si="3"/>
        <v>#N/A</v>
      </c>
      <c r="AJ12" t="e">
        <f ca="1" t="shared" si="3"/>
        <v>#N/A</v>
      </c>
      <c r="AK12" s="13" t="s">
        <v>20</v>
      </c>
      <c r="AL12" s="9"/>
      <c r="AM12" t="e">
        <f ca="1" t="shared" si="4"/>
        <v>#N/A</v>
      </c>
      <c r="AN12" t="e">
        <f ca="1" t="shared" si="4"/>
        <v>#N/A</v>
      </c>
      <c r="AO12" t="e">
        <f ca="1" t="shared" si="4"/>
        <v>#N/A</v>
      </c>
      <c r="AP12" t="e">
        <f ca="1" t="shared" si="4"/>
        <v>#N/A</v>
      </c>
      <c r="AQ12" t="e">
        <f ca="1" t="shared" si="4"/>
        <v>#N/A</v>
      </c>
      <c r="AR12" t="e">
        <f ca="1" t="shared" si="4"/>
        <v>#N/A</v>
      </c>
      <c r="AS12" t="e">
        <f ca="1" t="shared" si="4"/>
        <v>#N/A</v>
      </c>
      <c r="AT12" s="13" t="s">
        <v>20</v>
      </c>
      <c r="AU12" s="18"/>
    </row>
    <row r="13" customHeight="1" spans="1:47">
      <c r="A13" s="11" t="s">
        <v>21</v>
      </c>
      <c r="B13" s="9"/>
      <c r="C13" s="12" t="s">
        <v>0</v>
      </c>
      <c r="D13" s="12" t="s">
        <v>2</v>
      </c>
      <c r="E13" s="12" t="e">
        <f ca="1">AA</f>
        <v>#N/A</v>
      </c>
      <c r="F13" s="12" t="e">
        <f ca="1" t="shared" si="0"/>
        <v>#N/A</v>
      </c>
      <c r="G13" s="12" t="e">
        <f ca="1" t="shared" si="0"/>
        <v>#N/A</v>
      </c>
      <c r="H13" s="12" t="e">
        <f ca="1" t="shared" si="0"/>
        <v>#N/A</v>
      </c>
      <c r="I13" s="12" t="e">
        <f ca="1" t="shared" si="0"/>
        <v>#N/A</v>
      </c>
      <c r="J13" s="16"/>
      <c r="K13" s="9"/>
      <c r="L13" s="12" t="e">
        <f ca="1" t="shared" si="1"/>
        <v>#N/A</v>
      </c>
      <c r="M13" s="12" t="e">
        <f ca="1" t="shared" si="1"/>
        <v>#N/A</v>
      </c>
      <c r="N13" s="12" t="e">
        <f ca="1" t="shared" si="1"/>
        <v>#N/A</v>
      </c>
      <c r="O13" s="12" t="e">
        <f ca="1" t="shared" si="1"/>
        <v>#N/A</v>
      </c>
      <c r="P13" s="12" t="e">
        <f ca="1" t="shared" si="1"/>
        <v>#N/A</v>
      </c>
      <c r="Q13" s="12" t="e">
        <f ca="1" t="shared" si="1"/>
        <v>#N/A</v>
      </c>
      <c r="R13" s="12" t="e">
        <f ca="1" t="shared" si="1"/>
        <v>#N/A</v>
      </c>
      <c r="S13" s="16"/>
      <c r="T13" s="9"/>
      <c r="U13" t="e">
        <f ca="1" t="shared" si="2"/>
        <v>#N/A</v>
      </c>
      <c r="V13" t="e">
        <f ca="1" t="shared" si="2"/>
        <v>#N/A</v>
      </c>
      <c r="W13" t="e">
        <f ca="1" t="shared" si="2"/>
        <v>#N/A</v>
      </c>
      <c r="X13" t="e">
        <f ca="1" t="shared" si="2"/>
        <v>#N/A</v>
      </c>
      <c r="Y13" t="e">
        <f ca="1" t="shared" si="2"/>
        <v>#N/A</v>
      </c>
      <c r="Z13" t="e">
        <f ca="1" t="shared" si="2"/>
        <v>#N/A</v>
      </c>
      <c r="AA13" t="e">
        <f ca="1" t="shared" si="2"/>
        <v>#N/A</v>
      </c>
      <c r="AB13" s="16"/>
      <c r="AC13" s="9"/>
      <c r="AD13" t="e">
        <f ca="1" t="shared" si="3"/>
        <v>#N/A</v>
      </c>
      <c r="AE13" t="e">
        <f ca="1" t="shared" si="3"/>
        <v>#N/A</v>
      </c>
      <c r="AF13" t="e">
        <f ca="1" t="shared" si="3"/>
        <v>#N/A</v>
      </c>
      <c r="AG13" t="e">
        <f ca="1" t="shared" si="3"/>
        <v>#N/A</v>
      </c>
      <c r="AH13" t="e">
        <f ca="1" t="shared" si="3"/>
        <v>#N/A</v>
      </c>
      <c r="AI13" t="e">
        <f ca="1" t="shared" si="3"/>
        <v>#N/A</v>
      </c>
      <c r="AJ13" t="e">
        <f ca="1" t="shared" si="3"/>
        <v>#N/A</v>
      </c>
      <c r="AK13" s="16"/>
      <c r="AL13" s="9"/>
      <c r="AM13" t="e">
        <f ca="1" t="shared" si="4"/>
        <v>#N/A</v>
      </c>
      <c r="AN13" t="e">
        <f ca="1" t="shared" si="4"/>
        <v>#N/A</v>
      </c>
      <c r="AO13" t="e">
        <f ca="1" t="shared" si="4"/>
        <v>#N/A</v>
      </c>
      <c r="AP13" t="e">
        <f ca="1" t="shared" si="4"/>
        <v>#N/A</v>
      </c>
      <c r="AQ13" t="e">
        <f ca="1" t="shared" si="4"/>
        <v>#N/A</v>
      </c>
      <c r="AR13" t="e">
        <f ca="1" t="shared" si="4"/>
        <v>#N/A</v>
      </c>
      <c r="AS13" t="e">
        <f ca="1" t="shared" si="4"/>
        <v>#N/A</v>
      </c>
      <c r="AT13" s="16"/>
      <c r="AU13" s="18"/>
    </row>
    <row r="14" customHeight="1" spans="1:47">
      <c r="A14" s="11" t="s">
        <v>22</v>
      </c>
      <c r="B14" s="9"/>
      <c r="C14" s="12" t="s">
        <v>0</v>
      </c>
      <c r="D14" s="12" t="s">
        <v>2</v>
      </c>
      <c r="E14" s="12" t="e">
        <f ca="1" t="shared" si="0"/>
        <v>#N/A</v>
      </c>
      <c r="F14" s="12" t="e">
        <f ca="1" t="shared" si="0"/>
        <v>#N/A</v>
      </c>
      <c r="G14" s="12" t="e">
        <f ca="1" t="shared" si="0"/>
        <v>#N/A</v>
      </c>
      <c r="H14" s="12" t="e">
        <f ca="1" t="shared" si="0"/>
        <v>#N/A</v>
      </c>
      <c r="I14" s="12" t="e">
        <f ca="1" t="shared" si="0"/>
        <v>#N/A</v>
      </c>
      <c r="J14" s="16"/>
      <c r="K14" s="9"/>
      <c r="L14" s="12" t="e">
        <f ca="1" t="shared" si="1"/>
        <v>#N/A</v>
      </c>
      <c r="M14" s="12" t="e">
        <f ca="1" t="shared" si="1"/>
        <v>#N/A</v>
      </c>
      <c r="N14" s="12" t="e">
        <f ca="1" t="shared" si="1"/>
        <v>#N/A</v>
      </c>
      <c r="O14" s="12" t="e">
        <f ca="1" t="shared" si="1"/>
        <v>#N/A</v>
      </c>
      <c r="P14" s="12" t="e">
        <f ca="1" t="shared" si="1"/>
        <v>#N/A</v>
      </c>
      <c r="Q14" s="12" t="e">
        <f ca="1" t="shared" si="1"/>
        <v>#N/A</v>
      </c>
      <c r="R14" s="12" t="e">
        <f ca="1" t="shared" si="1"/>
        <v>#N/A</v>
      </c>
      <c r="S14" s="16"/>
      <c r="T14" s="9"/>
      <c r="U14" t="e">
        <f ca="1" t="shared" si="2"/>
        <v>#N/A</v>
      </c>
      <c r="V14" t="e">
        <f ca="1" t="shared" si="2"/>
        <v>#N/A</v>
      </c>
      <c r="W14" t="e">
        <f ca="1" t="shared" si="2"/>
        <v>#N/A</v>
      </c>
      <c r="X14" t="e">
        <f ca="1" t="shared" si="2"/>
        <v>#N/A</v>
      </c>
      <c r="Y14" t="e">
        <f ca="1" t="shared" si="2"/>
        <v>#N/A</v>
      </c>
      <c r="Z14" t="e">
        <f ca="1" t="shared" si="2"/>
        <v>#N/A</v>
      </c>
      <c r="AA14" t="e">
        <f ca="1" t="shared" si="2"/>
        <v>#N/A</v>
      </c>
      <c r="AB14" s="16"/>
      <c r="AC14" s="9"/>
      <c r="AD14" t="e">
        <f ca="1" t="shared" si="3"/>
        <v>#N/A</v>
      </c>
      <c r="AE14" t="e">
        <f ca="1" t="shared" si="3"/>
        <v>#N/A</v>
      </c>
      <c r="AF14" t="e">
        <f ca="1" t="shared" si="3"/>
        <v>#N/A</v>
      </c>
      <c r="AG14" t="e">
        <f ca="1" t="shared" si="3"/>
        <v>#N/A</v>
      </c>
      <c r="AH14" t="e">
        <f ca="1" t="shared" si="3"/>
        <v>#N/A</v>
      </c>
      <c r="AI14" t="e">
        <f ca="1" t="shared" si="3"/>
        <v>#N/A</v>
      </c>
      <c r="AJ14" t="e">
        <f ca="1" t="shared" si="3"/>
        <v>#N/A</v>
      </c>
      <c r="AK14" s="16"/>
      <c r="AL14" s="9"/>
      <c r="AM14" t="e">
        <f ca="1" t="shared" si="4"/>
        <v>#N/A</v>
      </c>
      <c r="AN14" t="e">
        <f ca="1" t="shared" si="4"/>
        <v>#N/A</v>
      </c>
      <c r="AO14" t="e">
        <f ca="1" t="shared" si="4"/>
        <v>#N/A</v>
      </c>
      <c r="AP14" t="e">
        <f ca="1" t="shared" si="4"/>
        <v>#N/A</v>
      </c>
      <c r="AQ14" t="e">
        <f ca="1" t="shared" si="4"/>
        <v>#N/A</v>
      </c>
      <c r="AR14" t="e">
        <f ca="1" t="shared" si="4"/>
        <v>#N/A</v>
      </c>
      <c r="AS14" t="e">
        <f ca="1" t="shared" si="4"/>
        <v>#N/A</v>
      </c>
      <c r="AT14" s="16"/>
      <c r="AU14" s="18"/>
    </row>
    <row r="15" customHeight="1" spans="1:47">
      <c r="A15" s="11" t="s">
        <v>23</v>
      </c>
      <c r="B15" s="9"/>
      <c r="C15" s="12" t="s">
        <v>0</v>
      </c>
      <c r="D15" s="12" t="s">
        <v>2</v>
      </c>
      <c r="E15" s="12" t="e">
        <f ca="1" t="shared" si="0"/>
        <v>#N/A</v>
      </c>
      <c r="F15" s="12" t="e">
        <f ca="1" t="shared" si="0"/>
        <v>#N/A</v>
      </c>
      <c r="G15" s="12" t="e">
        <f ca="1" t="shared" si="0"/>
        <v>#N/A</v>
      </c>
      <c r="H15" s="12" t="e">
        <f ca="1" t="shared" si="0"/>
        <v>#N/A</v>
      </c>
      <c r="I15" s="12" t="e">
        <f ca="1" t="shared" si="0"/>
        <v>#N/A</v>
      </c>
      <c r="J15" s="16"/>
      <c r="K15" s="9"/>
      <c r="L15" s="12" t="e">
        <f ca="1" t="shared" si="1"/>
        <v>#N/A</v>
      </c>
      <c r="M15" s="12" t="e">
        <f ca="1" t="shared" si="1"/>
        <v>#N/A</v>
      </c>
      <c r="N15" s="12" t="e">
        <f ca="1" t="shared" si="1"/>
        <v>#N/A</v>
      </c>
      <c r="O15" s="12" t="e">
        <f ca="1" t="shared" si="1"/>
        <v>#N/A</v>
      </c>
      <c r="P15" s="12" t="e">
        <f ca="1" t="shared" si="1"/>
        <v>#N/A</v>
      </c>
      <c r="Q15" s="12" t="e">
        <f ca="1" t="shared" si="1"/>
        <v>#N/A</v>
      </c>
      <c r="R15" s="12" t="e">
        <f ca="1" t="shared" si="1"/>
        <v>#N/A</v>
      </c>
      <c r="S15" s="16"/>
      <c r="T15" s="9"/>
      <c r="U15" t="e">
        <f ca="1" t="shared" si="2"/>
        <v>#N/A</v>
      </c>
      <c r="V15" t="e">
        <f ca="1" t="shared" si="2"/>
        <v>#N/A</v>
      </c>
      <c r="W15" t="e">
        <f ca="1" t="shared" si="2"/>
        <v>#N/A</v>
      </c>
      <c r="X15" t="e">
        <f ca="1" t="shared" si="2"/>
        <v>#N/A</v>
      </c>
      <c r="Y15" t="e">
        <f ca="1" t="shared" si="2"/>
        <v>#N/A</v>
      </c>
      <c r="Z15" t="e">
        <f ca="1" t="shared" si="2"/>
        <v>#N/A</v>
      </c>
      <c r="AA15" t="e">
        <f ca="1" t="shared" si="2"/>
        <v>#N/A</v>
      </c>
      <c r="AB15" s="16"/>
      <c r="AC15" s="9"/>
      <c r="AD15" t="e">
        <f ca="1" t="shared" si="3"/>
        <v>#N/A</v>
      </c>
      <c r="AE15" t="e">
        <f ca="1" t="shared" si="3"/>
        <v>#N/A</v>
      </c>
      <c r="AF15" t="e">
        <f ca="1" t="shared" si="3"/>
        <v>#N/A</v>
      </c>
      <c r="AG15" t="e">
        <f ca="1" t="shared" si="3"/>
        <v>#N/A</v>
      </c>
      <c r="AH15" t="e">
        <f ca="1" t="shared" si="3"/>
        <v>#N/A</v>
      </c>
      <c r="AI15" t="e">
        <f ca="1" t="shared" si="3"/>
        <v>#N/A</v>
      </c>
      <c r="AJ15" t="e">
        <f ca="1" t="shared" si="3"/>
        <v>#N/A</v>
      </c>
      <c r="AK15" s="16"/>
      <c r="AL15" s="9"/>
      <c r="AM15" t="e">
        <f ca="1" t="shared" si="4"/>
        <v>#N/A</v>
      </c>
      <c r="AN15" t="e">
        <f ca="1" t="shared" si="4"/>
        <v>#N/A</v>
      </c>
      <c r="AO15" t="e">
        <f ca="1" t="shared" si="4"/>
        <v>#N/A</v>
      </c>
      <c r="AP15" t="e">
        <f ca="1" t="shared" si="4"/>
        <v>#N/A</v>
      </c>
      <c r="AQ15" t="e">
        <f ca="1" t="shared" si="4"/>
        <v>#N/A</v>
      </c>
      <c r="AR15" t="e">
        <f ca="1" t="shared" si="4"/>
        <v>#N/A</v>
      </c>
      <c r="AS15" t="e">
        <f ca="1" t="shared" si="4"/>
        <v>#N/A</v>
      </c>
      <c r="AT15" s="16"/>
      <c r="AU15" s="18"/>
    </row>
    <row r="16" customHeight="1" spans="1:47">
      <c r="A16" s="11" t="s">
        <v>24</v>
      </c>
      <c r="B16" s="9"/>
      <c r="C16" s="12" t="s">
        <v>1</v>
      </c>
      <c r="D16" s="12" t="s">
        <v>1</v>
      </c>
      <c r="E16" s="12" t="e">
        <f ca="1" t="shared" si="0"/>
        <v>#N/A</v>
      </c>
      <c r="F16" s="12" t="e">
        <f ca="1" t="shared" si="0"/>
        <v>#N/A</v>
      </c>
      <c r="G16" s="12" t="e">
        <f ca="1" t="shared" si="0"/>
        <v>#N/A</v>
      </c>
      <c r="H16" s="12" t="e">
        <f ca="1" t="shared" si="0"/>
        <v>#N/A</v>
      </c>
      <c r="I16" s="12" t="e">
        <f ca="1" t="shared" si="0"/>
        <v>#N/A</v>
      </c>
      <c r="J16" s="16"/>
      <c r="K16" s="9"/>
      <c r="L16" s="12" t="e">
        <f ca="1" t="shared" si="1"/>
        <v>#N/A</v>
      </c>
      <c r="M16" s="12" t="e">
        <f ca="1" t="shared" si="1"/>
        <v>#N/A</v>
      </c>
      <c r="N16" s="12" t="e">
        <f ca="1" t="shared" si="1"/>
        <v>#N/A</v>
      </c>
      <c r="O16" s="12" t="e">
        <f ca="1" t="shared" si="1"/>
        <v>#N/A</v>
      </c>
      <c r="P16" s="12" t="e">
        <f ca="1" t="shared" si="1"/>
        <v>#N/A</v>
      </c>
      <c r="Q16" s="12" t="e">
        <f ca="1" t="shared" si="1"/>
        <v>#N/A</v>
      </c>
      <c r="R16" s="12" t="e">
        <f ca="1" t="shared" si="1"/>
        <v>#N/A</v>
      </c>
      <c r="S16" s="16"/>
      <c r="T16" s="9"/>
      <c r="U16" t="e">
        <f ca="1" t="shared" si="2"/>
        <v>#N/A</v>
      </c>
      <c r="V16" t="e">
        <f ca="1" t="shared" si="2"/>
        <v>#N/A</v>
      </c>
      <c r="W16" t="e">
        <f ca="1" t="shared" si="2"/>
        <v>#N/A</v>
      </c>
      <c r="X16" t="e">
        <f ca="1" t="shared" si="2"/>
        <v>#N/A</v>
      </c>
      <c r="Y16" t="e">
        <f ca="1" t="shared" si="2"/>
        <v>#N/A</v>
      </c>
      <c r="Z16" t="e">
        <f ca="1" t="shared" si="2"/>
        <v>#N/A</v>
      </c>
      <c r="AA16" t="e">
        <f ca="1" t="shared" si="2"/>
        <v>#N/A</v>
      </c>
      <c r="AB16" s="16"/>
      <c r="AC16" s="9"/>
      <c r="AD16" t="e">
        <f ca="1" t="shared" si="3"/>
        <v>#N/A</v>
      </c>
      <c r="AE16" t="e">
        <f ca="1" t="shared" si="3"/>
        <v>#N/A</v>
      </c>
      <c r="AF16" t="e">
        <f ca="1" t="shared" si="3"/>
        <v>#N/A</v>
      </c>
      <c r="AG16" t="e">
        <f ca="1" t="shared" si="3"/>
        <v>#N/A</v>
      </c>
      <c r="AH16" t="e">
        <f ca="1" t="shared" si="3"/>
        <v>#N/A</v>
      </c>
      <c r="AI16" t="e">
        <f ca="1" t="shared" si="3"/>
        <v>#N/A</v>
      </c>
      <c r="AJ16" t="e">
        <f ca="1" t="shared" si="3"/>
        <v>#N/A</v>
      </c>
      <c r="AK16" s="16"/>
      <c r="AL16" s="9"/>
      <c r="AM16" t="e">
        <f ca="1" t="shared" si="4"/>
        <v>#N/A</v>
      </c>
      <c r="AN16" t="e">
        <f ca="1" t="shared" si="4"/>
        <v>#N/A</v>
      </c>
      <c r="AO16" t="e">
        <f ca="1" t="shared" si="4"/>
        <v>#N/A</v>
      </c>
      <c r="AP16" t="e">
        <f ca="1" t="shared" si="4"/>
        <v>#N/A</v>
      </c>
      <c r="AQ16" t="e">
        <f ca="1" t="shared" si="4"/>
        <v>#N/A</v>
      </c>
      <c r="AR16" t="e">
        <f ca="1" t="shared" si="4"/>
        <v>#N/A</v>
      </c>
      <c r="AS16" t="e">
        <f ca="1" t="shared" si="4"/>
        <v>#N/A</v>
      </c>
      <c r="AT16" s="16"/>
      <c r="AU16" s="18"/>
    </row>
    <row r="17" customHeight="1" spans="1:47">
      <c r="A17" s="11" t="s">
        <v>25</v>
      </c>
      <c r="B17" s="9"/>
      <c r="C17" s="12" t="s">
        <v>1</v>
      </c>
      <c r="D17" s="12" t="s">
        <v>1</v>
      </c>
      <c r="E17" s="12" t="e">
        <f ca="1" t="shared" ref="C17:I27" si="5">AA</f>
        <v>#N/A</v>
      </c>
      <c r="F17" s="12" t="e">
        <f ca="1" t="shared" si="5"/>
        <v>#N/A</v>
      </c>
      <c r="G17" s="12" t="e">
        <f ca="1" t="shared" si="5"/>
        <v>#N/A</v>
      </c>
      <c r="H17" s="12" t="e">
        <f ca="1" t="shared" si="5"/>
        <v>#N/A</v>
      </c>
      <c r="I17" s="12" t="e">
        <f ca="1" t="shared" si="5"/>
        <v>#N/A</v>
      </c>
      <c r="J17" s="16"/>
      <c r="K17" s="9"/>
      <c r="L17" s="12" t="e">
        <f ca="1" t="shared" ref="L17:R27" si="6">AA</f>
        <v>#N/A</v>
      </c>
      <c r="M17" s="12" t="e">
        <f ca="1" t="shared" si="6"/>
        <v>#N/A</v>
      </c>
      <c r="N17" s="12" t="e">
        <f ca="1" t="shared" si="6"/>
        <v>#N/A</v>
      </c>
      <c r="O17" s="12" t="e">
        <f ca="1" t="shared" si="6"/>
        <v>#N/A</v>
      </c>
      <c r="P17" s="12" t="e">
        <f ca="1" t="shared" si="6"/>
        <v>#N/A</v>
      </c>
      <c r="Q17" s="12" t="e">
        <f ca="1" t="shared" si="6"/>
        <v>#N/A</v>
      </c>
      <c r="R17" s="12" t="e">
        <f ca="1" t="shared" si="6"/>
        <v>#N/A</v>
      </c>
      <c r="S17" s="16"/>
      <c r="T17" s="9"/>
      <c r="U17" t="e">
        <f ca="1" t="shared" ref="U17:AA27" si="7">AA</f>
        <v>#N/A</v>
      </c>
      <c r="V17" t="e">
        <f ca="1" t="shared" si="7"/>
        <v>#N/A</v>
      </c>
      <c r="W17" t="e">
        <f ca="1" t="shared" si="7"/>
        <v>#N/A</v>
      </c>
      <c r="X17" t="e">
        <f ca="1" t="shared" si="7"/>
        <v>#N/A</v>
      </c>
      <c r="Y17" t="e">
        <f ca="1" t="shared" si="7"/>
        <v>#N/A</v>
      </c>
      <c r="Z17" t="e">
        <f ca="1" t="shared" si="7"/>
        <v>#N/A</v>
      </c>
      <c r="AA17" t="e">
        <f ca="1" t="shared" si="7"/>
        <v>#N/A</v>
      </c>
      <c r="AB17" s="16"/>
      <c r="AC17" s="9"/>
      <c r="AD17" t="e">
        <f ca="1" t="shared" ref="AD17:AJ27" si="8">AA</f>
        <v>#N/A</v>
      </c>
      <c r="AE17" t="e">
        <f ca="1" t="shared" si="8"/>
        <v>#N/A</v>
      </c>
      <c r="AF17" t="e">
        <f ca="1" t="shared" si="8"/>
        <v>#N/A</v>
      </c>
      <c r="AG17" t="e">
        <f ca="1" t="shared" si="8"/>
        <v>#N/A</v>
      </c>
      <c r="AH17" t="e">
        <f ca="1" t="shared" si="8"/>
        <v>#N/A</v>
      </c>
      <c r="AI17" t="e">
        <f ca="1" t="shared" si="8"/>
        <v>#N/A</v>
      </c>
      <c r="AJ17" t="e">
        <f ca="1" t="shared" si="8"/>
        <v>#N/A</v>
      </c>
      <c r="AK17" s="16"/>
      <c r="AL17" s="9"/>
      <c r="AM17" t="e">
        <f ca="1" t="shared" ref="AM17:AS27" si="9">AA</f>
        <v>#N/A</v>
      </c>
      <c r="AN17" t="e">
        <f ca="1" t="shared" si="9"/>
        <v>#N/A</v>
      </c>
      <c r="AO17" t="e">
        <f ca="1" t="shared" si="9"/>
        <v>#N/A</v>
      </c>
      <c r="AP17" t="e">
        <f ca="1" t="shared" si="9"/>
        <v>#N/A</v>
      </c>
      <c r="AQ17" t="e">
        <f ca="1" t="shared" si="9"/>
        <v>#N/A</v>
      </c>
      <c r="AR17" t="e">
        <f ca="1" t="shared" si="9"/>
        <v>#N/A</v>
      </c>
      <c r="AS17" t="e">
        <f ca="1" t="shared" si="9"/>
        <v>#N/A</v>
      </c>
      <c r="AT17" s="16"/>
      <c r="AU17" s="18"/>
    </row>
    <row r="18" customHeight="1" spans="1:47">
      <c r="A18" s="11" t="s">
        <v>26</v>
      </c>
      <c r="B18" s="9"/>
      <c r="C18" s="12" t="s">
        <v>1</v>
      </c>
      <c r="D18" s="12" t="s">
        <v>1</v>
      </c>
      <c r="E18" s="12" t="e">
        <f ca="1" t="shared" si="5"/>
        <v>#N/A</v>
      </c>
      <c r="F18" s="12" t="e">
        <f ca="1" t="shared" si="5"/>
        <v>#N/A</v>
      </c>
      <c r="G18" s="12" t="e">
        <f ca="1" t="shared" si="5"/>
        <v>#N/A</v>
      </c>
      <c r="H18" s="12" t="e">
        <f ca="1" t="shared" si="5"/>
        <v>#N/A</v>
      </c>
      <c r="I18" s="12" t="e">
        <f ca="1" t="shared" si="5"/>
        <v>#N/A</v>
      </c>
      <c r="J18" s="16"/>
      <c r="K18" s="9"/>
      <c r="L18" s="12" t="e">
        <f ca="1" t="shared" si="6"/>
        <v>#N/A</v>
      </c>
      <c r="M18" s="12" t="e">
        <f ca="1" t="shared" si="6"/>
        <v>#N/A</v>
      </c>
      <c r="N18" s="12" t="e">
        <f ca="1" t="shared" si="6"/>
        <v>#N/A</v>
      </c>
      <c r="O18" s="12" t="e">
        <f ca="1" t="shared" si="6"/>
        <v>#N/A</v>
      </c>
      <c r="P18" s="12" t="e">
        <f ca="1" t="shared" si="6"/>
        <v>#N/A</v>
      </c>
      <c r="Q18" s="12" t="e">
        <f ca="1" t="shared" si="6"/>
        <v>#N/A</v>
      </c>
      <c r="R18" s="12" t="e">
        <f ca="1" t="shared" si="6"/>
        <v>#N/A</v>
      </c>
      <c r="S18" s="16"/>
      <c r="T18" s="9"/>
      <c r="U18" t="e">
        <f ca="1" t="shared" si="7"/>
        <v>#N/A</v>
      </c>
      <c r="V18" t="e">
        <f ca="1" t="shared" si="7"/>
        <v>#N/A</v>
      </c>
      <c r="W18" t="e">
        <f ca="1" t="shared" si="7"/>
        <v>#N/A</v>
      </c>
      <c r="X18" t="e">
        <f ca="1" t="shared" si="7"/>
        <v>#N/A</v>
      </c>
      <c r="Y18" t="e">
        <f ca="1" t="shared" si="7"/>
        <v>#N/A</v>
      </c>
      <c r="Z18" t="e">
        <f ca="1" t="shared" si="7"/>
        <v>#N/A</v>
      </c>
      <c r="AA18" t="e">
        <f ca="1" t="shared" si="7"/>
        <v>#N/A</v>
      </c>
      <c r="AB18" s="16"/>
      <c r="AC18" s="9"/>
      <c r="AD18" t="e">
        <f ca="1" t="shared" si="8"/>
        <v>#N/A</v>
      </c>
      <c r="AE18" t="e">
        <f ca="1" t="shared" si="8"/>
        <v>#N/A</v>
      </c>
      <c r="AF18" t="e">
        <f ca="1" t="shared" si="8"/>
        <v>#N/A</v>
      </c>
      <c r="AG18" t="e">
        <f ca="1" t="shared" si="8"/>
        <v>#N/A</v>
      </c>
      <c r="AH18" t="e">
        <f ca="1" t="shared" si="8"/>
        <v>#N/A</v>
      </c>
      <c r="AI18" t="e">
        <f ca="1" t="shared" si="8"/>
        <v>#N/A</v>
      </c>
      <c r="AJ18" t="e">
        <f ca="1" t="shared" si="8"/>
        <v>#N/A</v>
      </c>
      <c r="AK18" s="16"/>
      <c r="AL18" s="9"/>
      <c r="AM18" t="e">
        <f ca="1" t="shared" si="9"/>
        <v>#N/A</v>
      </c>
      <c r="AN18" t="e">
        <f ca="1" t="shared" si="9"/>
        <v>#N/A</v>
      </c>
      <c r="AO18" t="e">
        <f ca="1" t="shared" si="9"/>
        <v>#N/A</v>
      </c>
      <c r="AP18" t="e">
        <f ca="1" t="shared" si="9"/>
        <v>#N/A</v>
      </c>
      <c r="AQ18" t="e">
        <f ca="1" t="shared" si="9"/>
        <v>#N/A</v>
      </c>
      <c r="AR18" t="e">
        <f ca="1" t="shared" si="9"/>
        <v>#N/A</v>
      </c>
      <c r="AS18" t="e">
        <f ca="1" t="shared" si="9"/>
        <v>#N/A</v>
      </c>
      <c r="AT18" s="16"/>
      <c r="AU18" s="18"/>
    </row>
    <row r="19" customHeight="1" spans="1:47">
      <c r="A19" s="11" t="s">
        <v>27</v>
      </c>
      <c r="B19" s="9"/>
      <c r="C19" s="12" t="s">
        <v>1</v>
      </c>
      <c r="D19" s="12" t="s">
        <v>4</v>
      </c>
      <c r="E19" s="12" t="e">
        <f ca="1" t="shared" si="5"/>
        <v>#N/A</v>
      </c>
      <c r="F19" s="12" t="e">
        <f ca="1" t="shared" si="5"/>
        <v>#N/A</v>
      </c>
      <c r="G19" s="12" t="e">
        <f ca="1" t="shared" si="5"/>
        <v>#N/A</v>
      </c>
      <c r="H19" s="12" t="e">
        <f ca="1" t="shared" si="5"/>
        <v>#N/A</v>
      </c>
      <c r="I19" s="12" t="e">
        <f ca="1" t="shared" si="5"/>
        <v>#N/A</v>
      </c>
      <c r="J19" s="16"/>
      <c r="K19" s="9"/>
      <c r="L19" s="12" t="e">
        <f ca="1" t="shared" si="6"/>
        <v>#N/A</v>
      </c>
      <c r="M19" s="12" t="e">
        <f ca="1" t="shared" si="6"/>
        <v>#N/A</v>
      </c>
      <c r="N19" s="12" t="e">
        <f ca="1" t="shared" si="6"/>
        <v>#N/A</v>
      </c>
      <c r="O19" s="12" t="e">
        <f ca="1" t="shared" si="6"/>
        <v>#N/A</v>
      </c>
      <c r="P19" s="12" t="e">
        <f ca="1" t="shared" si="6"/>
        <v>#N/A</v>
      </c>
      <c r="Q19" s="12" t="e">
        <f ca="1" t="shared" si="6"/>
        <v>#N/A</v>
      </c>
      <c r="R19" s="12" t="e">
        <f ca="1" t="shared" si="6"/>
        <v>#N/A</v>
      </c>
      <c r="S19" s="16"/>
      <c r="T19" s="9"/>
      <c r="U19" t="e">
        <f ca="1" t="shared" si="7"/>
        <v>#N/A</v>
      </c>
      <c r="V19" t="e">
        <f ca="1" t="shared" si="7"/>
        <v>#N/A</v>
      </c>
      <c r="W19" t="e">
        <f ca="1" t="shared" si="7"/>
        <v>#N/A</v>
      </c>
      <c r="X19" t="e">
        <f ca="1" t="shared" si="7"/>
        <v>#N/A</v>
      </c>
      <c r="Y19" t="e">
        <f ca="1" t="shared" si="7"/>
        <v>#N/A</v>
      </c>
      <c r="Z19" t="e">
        <f ca="1" t="shared" si="7"/>
        <v>#N/A</v>
      </c>
      <c r="AA19" t="e">
        <f ca="1" t="shared" si="7"/>
        <v>#N/A</v>
      </c>
      <c r="AB19" s="16"/>
      <c r="AC19" s="9"/>
      <c r="AD19" t="e">
        <f ca="1" t="shared" si="8"/>
        <v>#N/A</v>
      </c>
      <c r="AE19" t="e">
        <f ca="1" t="shared" si="8"/>
        <v>#N/A</v>
      </c>
      <c r="AF19" t="e">
        <f ca="1" t="shared" si="8"/>
        <v>#N/A</v>
      </c>
      <c r="AG19" t="e">
        <f ca="1" t="shared" si="8"/>
        <v>#N/A</v>
      </c>
      <c r="AH19" t="e">
        <f ca="1" t="shared" si="8"/>
        <v>#N/A</v>
      </c>
      <c r="AI19" t="e">
        <f ca="1" t="shared" si="8"/>
        <v>#N/A</v>
      </c>
      <c r="AJ19" t="e">
        <f ca="1" t="shared" si="8"/>
        <v>#N/A</v>
      </c>
      <c r="AK19" s="16"/>
      <c r="AL19" s="9"/>
      <c r="AM19" t="e">
        <f ca="1" t="shared" si="9"/>
        <v>#N/A</v>
      </c>
      <c r="AN19" t="e">
        <f ca="1" t="shared" si="9"/>
        <v>#N/A</v>
      </c>
      <c r="AO19" t="e">
        <f ca="1" t="shared" si="9"/>
        <v>#N/A</v>
      </c>
      <c r="AP19" t="e">
        <f ca="1" t="shared" si="9"/>
        <v>#N/A</v>
      </c>
      <c r="AQ19" t="e">
        <f ca="1" t="shared" si="9"/>
        <v>#N/A</v>
      </c>
      <c r="AR19" t="e">
        <f ca="1" t="shared" si="9"/>
        <v>#N/A</v>
      </c>
      <c r="AS19" t="e">
        <f ca="1" t="shared" si="9"/>
        <v>#N/A</v>
      </c>
      <c r="AT19" s="16"/>
      <c r="AU19" s="18"/>
    </row>
    <row r="20" customHeight="1" spans="1:47">
      <c r="A20" s="11" t="s">
        <v>28</v>
      </c>
      <c r="B20" s="9"/>
      <c r="C20" s="12" t="s">
        <v>2</v>
      </c>
      <c r="D20" s="12" t="s">
        <v>4</v>
      </c>
      <c r="E20" s="12" t="e">
        <f ca="1" t="shared" si="5"/>
        <v>#N/A</v>
      </c>
      <c r="F20" s="12" t="e">
        <f ca="1" t="shared" si="5"/>
        <v>#N/A</v>
      </c>
      <c r="G20" s="12" t="e">
        <f ca="1" t="shared" si="5"/>
        <v>#N/A</v>
      </c>
      <c r="H20" s="12" t="e">
        <f ca="1" t="shared" si="5"/>
        <v>#N/A</v>
      </c>
      <c r="I20" s="12" t="e">
        <f ca="1" t="shared" si="5"/>
        <v>#N/A</v>
      </c>
      <c r="J20" s="16"/>
      <c r="K20" s="9"/>
      <c r="L20" s="12" t="e">
        <f ca="1" t="shared" si="6"/>
        <v>#N/A</v>
      </c>
      <c r="M20" s="12" t="e">
        <f ca="1" t="shared" si="6"/>
        <v>#N/A</v>
      </c>
      <c r="N20" s="12" t="e">
        <f ca="1" t="shared" si="6"/>
        <v>#N/A</v>
      </c>
      <c r="O20" s="12" t="e">
        <f ca="1" t="shared" si="6"/>
        <v>#N/A</v>
      </c>
      <c r="P20" s="12" t="e">
        <f ca="1" t="shared" si="6"/>
        <v>#N/A</v>
      </c>
      <c r="Q20" s="12" t="e">
        <f ca="1" t="shared" si="6"/>
        <v>#N/A</v>
      </c>
      <c r="R20" s="12" t="e">
        <f ca="1" t="shared" si="6"/>
        <v>#N/A</v>
      </c>
      <c r="S20" s="16"/>
      <c r="T20" s="9"/>
      <c r="U20" t="e">
        <f ca="1" t="shared" si="7"/>
        <v>#N/A</v>
      </c>
      <c r="V20" t="e">
        <f ca="1" t="shared" si="7"/>
        <v>#N/A</v>
      </c>
      <c r="W20" t="e">
        <f ca="1" t="shared" si="7"/>
        <v>#N/A</v>
      </c>
      <c r="X20" t="e">
        <f ca="1" t="shared" si="7"/>
        <v>#N/A</v>
      </c>
      <c r="Y20" t="e">
        <f ca="1" t="shared" si="7"/>
        <v>#N/A</v>
      </c>
      <c r="Z20" t="e">
        <f ca="1" t="shared" si="7"/>
        <v>#N/A</v>
      </c>
      <c r="AA20" t="e">
        <f ca="1" t="shared" si="7"/>
        <v>#N/A</v>
      </c>
      <c r="AB20" s="16"/>
      <c r="AC20" s="9"/>
      <c r="AD20" t="e">
        <f ca="1" t="shared" si="8"/>
        <v>#N/A</v>
      </c>
      <c r="AE20" t="e">
        <f ca="1" t="shared" si="8"/>
        <v>#N/A</v>
      </c>
      <c r="AF20" t="e">
        <f ca="1" t="shared" si="8"/>
        <v>#N/A</v>
      </c>
      <c r="AG20" t="e">
        <f ca="1" t="shared" si="8"/>
        <v>#N/A</v>
      </c>
      <c r="AH20" t="e">
        <f ca="1" t="shared" si="8"/>
        <v>#N/A</v>
      </c>
      <c r="AI20" t="e">
        <f ca="1" t="shared" si="8"/>
        <v>#N/A</v>
      </c>
      <c r="AJ20" t="e">
        <f ca="1" t="shared" si="8"/>
        <v>#N/A</v>
      </c>
      <c r="AK20" s="16"/>
      <c r="AL20" s="9"/>
      <c r="AM20" t="e">
        <f ca="1" t="shared" si="9"/>
        <v>#N/A</v>
      </c>
      <c r="AN20" t="e">
        <f ca="1" t="shared" si="9"/>
        <v>#N/A</v>
      </c>
      <c r="AO20" t="e">
        <f ca="1" t="shared" si="9"/>
        <v>#N/A</v>
      </c>
      <c r="AP20" t="e">
        <f ca="1" t="shared" si="9"/>
        <v>#N/A</v>
      </c>
      <c r="AQ20" t="e">
        <f ca="1" t="shared" si="9"/>
        <v>#N/A</v>
      </c>
      <c r="AR20" t="e">
        <f ca="1" t="shared" si="9"/>
        <v>#N/A</v>
      </c>
      <c r="AS20" t="e">
        <f ca="1" t="shared" si="9"/>
        <v>#N/A</v>
      </c>
      <c r="AT20" s="16"/>
      <c r="AU20" s="18"/>
    </row>
    <row r="21" customHeight="1" spans="1:47">
      <c r="A21" s="11" t="s">
        <v>29</v>
      </c>
      <c r="B21" s="9"/>
      <c r="C21" s="12" t="s">
        <v>2</v>
      </c>
      <c r="D21" s="12" t="s">
        <v>2</v>
      </c>
      <c r="E21" s="12" t="e">
        <f ca="1" t="shared" si="5"/>
        <v>#N/A</v>
      </c>
      <c r="F21" s="12" t="e">
        <f ca="1" t="shared" si="5"/>
        <v>#N/A</v>
      </c>
      <c r="G21" s="12" t="e">
        <f ca="1" t="shared" si="5"/>
        <v>#N/A</v>
      </c>
      <c r="H21" s="12" t="e">
        <f ca="1" t="shared" si="5"/>
        <v>#N/A</v>
      </c>
      <c r="I21" s="12" t="e">
        <f ca="1" t="shared" si="5"/>
        <v>#N/A</v>
      </c>
      <c r="J21" s="16"/>
      <c r="K21" s="9"/>
      <c r="L21" s="12" t="e">
        <f ca="1" t="shared" si="6"/>
        <v>#N/A</v>
      </c>
      <c r="M21" s="12" t="e">
        <f ca="1" t="shared" si="6"/>
        <v>#N/A</v>
      </c>
      <c r="N21" s="12" t="e">
        <f ca="1" t="shared" si="6"/>
        <v>#N/A</v>
      </c>
      <c r="O21" s="12" t="e">
        <f ca="1" t="shared" si="6"/>
        <v>#N/A</v>
      </c>
      <c r="P21" s="12" t="e">
        <f ca="1" t="shared" si="6"/>
        <v>#N/A</v>
      </c>
      <c r="Q21" s="12" t="e">
        <f ca="1" t="shared" si="6"/>
        <v>#N/A</v>
      </c>
      <c r="R21" s="12" t="e">
        <f ca="1" t="shared" si="6"/>
        <v>#N/A</v>
      </c>
      <c r="S21" s="16"/>
      <c r="T21" s="9"/>
      <c r="U21" t="e">
        <f ca="1" t="shared" si="7"/>
        <v>#N/A</v>
      </c>
      <c r="V21" t="e">
        <f ca="1" t="shared" si="7"/>
        <v>#N/A</v>
      </c>
      <c r="W21" t="e">
        <f ca="1" t="shared" si="7"/>
        <v>#N/A</v>
      </c>
      <c r="X21" t="e">
        <f ca="1" t="shared" si="7"/>
        <v>#N/A</v>
      </c>
      <c r="Y21" t="e">
        <f ca="1" t="shared" si="7"/>
        <v>#N/A</v>
      </c>
      <c r="Z21" t="e">
        <f ca="1" t="shared" si="7"/>
        <v>#N/A</v>
      </c>
      <c r="AA21" t="e">
        <f ca="1" t="shared" si="7"/>
        <v>#N/A</v>
      </c>
      <c r="AB21" s="16"/>
      <c r="AC21" s="9"/>
      <c r="AD21" t="e">
        <f ca="1" t="shared" si="8"/>
        <v>#N/A</v>
      </c>
      <c r="AE21" t="e">
        <f ca="1" t="shared" si="8"/>
        <v>#N/A</v>
      </c>
      <c r="AF21" t="e">
        <f ca="1" t="shared" si="8"/>
        <v>#N/A</v>
      </c>
      <c r="AG21" t="e">
        <f ca="1" t="shared" si="8"/>
        <v>#N/A</v>
      </c>
      <c r="AH21" t="e">
        <f ca="1" t="shared" si="8"/>
        <v>#N/A</v>
      </c>
      <c r="AI21" t="e">
        <f ca="1" t="shared" si="8"/>
        <v>#N/A</v>
      </c>
      <c r="AJ21" t="e">
        <f ca="1" t="shared" si="8"/>
        <v>#N/A</v>
      </c>
      <c r="AK21" s="16"/>
      <c r="AL21" s="9"/>
      <c r="AM21" t="e">
        <f ca="1" t="shared" si="9"/>
        <v>#N/A</v>
      </c>
      <c r="AN21" t="e">
        <f ca="1" t="shared" si="9"/>
        <v>#N/A</v>
      </c>
      <c r="AO21" t="e">
        <f ca="1" t="shared" si="9"/>
        <v>#N/A</v>
      </c>
      <c r="AP21" t="e">
        <f ca="1" t="shared" si="9"/>
        <v>#N/A</v>
      </c>
      <c r="AQ21" t="e">
        <f ca="1" t="shared" si="9"/>
        <v>#N/A</v>
      </c>
      <c r="AR21" t="e">
        <f ca="1" t="shared" si="9"/>
        <v>#N/A</v>
      </c>
      <c r="AS21" t="e">
        <f ca="1" t="shared" si="9"/>
        <v>#N/A</v>
      </c>
      <c r="AT21" s="16"/>
      <c r="AU21" s="18"/>
    </row>
    <row r="22" customHeight="1" spans="1:47">
      <c r="A22" s="11" t="s">
        <v>30</v>
      </c>
      <c r="B22" s="9"/>
      <c r="C22" s="12" t="s">
        <v>2</v>
      </c>
      <c r="D22" s="12" t="s">
        <v>2</v>
      </c>
      <c r="E22" s="12" t="e">
        <f ca="1" t="shared" si="5"/>
        <v>#N/A</v>
      </c>
      <c r="F22" s="12" t="e">
        <f ca="1" t="shared" si="5"/>
        <v>#N/A</v>
      </c>
      <c r="G22" s="12" t="e">
        <f ca="1" t="shared" si="5"/>
        <v>#N/A</v>
      </c>
      <c r="H22" s="12" t="e">
        <f ca="1" t="shared" si="5"/>
        <v>#N/A</v>
      </c>
      <c r="I22" s="12" t="e">
        <f ca="1" t="shared" si="5"/>
        <v>#N/A</v>
      </c>
      <c r="J22" s="16"/>
      <c r="K22" s="9"/>
      <c r="L22" s="12" t="e">
        <f ca="1" t="shared" si="6"/>
        <v>#N/A</v>
      </c>
      <c r="M22" s="12" t="e">
        <f ca="1" t="shared" si="6"/>
        <v>#N/A</v>
      </c>
      <c r="N22" s="12" t="e">
        <f ca="1" t="shared" si="6"/>
        <v>#N/A</v>
      </c>
      <c r="O22" s="12" t="e">
        <f ca="1" t="shared" si="6"/>
        <v>#N/A</v>
      </c>
      <c r="P22" s="12" t="e">
        <f ca="1" t="shared" si="6"/>
        <v>#N/A</v>
      </c>
      <c r="Q22" s="12" t="e">
        <f ca="1" t="shared" si="6"/>
        <v>#N/A</v>
      </c>
      <c r="R22" s="12" t="e">
        <f ca="1" t="shared" si="6"/>
        <v>#N/A</v>
      </c>
      <c r="S22" s="16"/>
      <c r="T22" s="9"/>
      <c r="U22" t="e">
        <f ca="1" t="shared" si="7"/>
        <v>#N/A</v>
      </c>
      <c r="V22" t="e">
        <f ca="1" t="shared" si="7"/>
        <v>#N/A</v>
      </c>
      <c r="W22" t="e">
        <f ca="1" t="shared" si="7"/>
        <v>#N/A</v>
      </c>
      <c r="X22" t="e">
        <f ca="1" t="shared" si="7"/>
        <v>#N/A</v>
      </c>
      <c r="Y22" t="e">
        <f ca="1" t="shared" si="7"/>
        <v>#N/A</v>
      </c>
      <c r="Z22" t="e">
        <f ca="1" t="shared" si="7"/>
        <v>#N/A</v>
      </c>
      <c r="AA22" t="e">
        <f ca="1" t="shared" si="7"/>
        <v>#N/A</v>
      </c>
      <c r="AB22" s="16"/>
      <c r="AC22" s="9"/>
      <c r="AD22" t="e">
        <f ca="1" t="shared" si="8"/>
        <v>#N/A</v>
      </c>
      <c r="AE22" t="e">
        <f ca="1" t="shared" si="8"/>
        <v>#N/A</v>
      </c>
      <c r="AF22" t="e">
        <f ca="1" t="shared" si="8"/>
        <v>#N/A</v>
      </c>
      <c r="AG22" t="e">
        <f ca="1" t="shared" si="8"/>
        <v>#N/A</v>
      </c>
      <c r="AH22" t="e">
        <f ca="1" t="shared" si="8"/>
        <v>#N/A</v>
      </c>
      <c r="AI22" t="e">
        <f ca="1" t="shared" si="8"/>
        <v>#N/A</v>
      </c>
      <c r="AJ22" t="e">
        <f ca="1" t="shared" si="8"/>
        <v>#N/A</v>
      </c>
      <c r="AK22" s="16"/>
      <c r="AL22" s="9"/>
      <c r="AM22" t="e">
        <f ca="1" t="shared" si="9"/>
        <v>#N/A</v>
      </c>
      <c r="AN22" t="e">
        <f ca="1" t="shared" si="9"/>
        <v>#N/A</v>
      </c>
      <c r="AO22" t="e">
        <f ca="1" t="shared" si="9"/>
        <v>#N/A</v>
      </c>
      <c r="AP22" t="e">
        <f ca="1" t="shared" si="9"/>
        <v>#N/A</v>
      </c>
      <c r="AQ22" t="e">
        <f ca="1" t="shared" si="9"/>
        <v>#N/A</v>
      </c>
      <c r="AR22" t="e">
        <f ca="1" t="shared" si="9"/>
        <v>#N/A</v>
      </c>
      <c r="AS22" t="e">
        <f ca="1" t="shared" si="9"/>
        <v>#N/A</v>
      </c>
      <c r="AT22" s="16"/>
      <c r="AU22" s="18"/>
    </row>
    <row r="23" customHeight="1" spans="1:47">
      <c r="A23" s="11" t="s">
        <v>31</v>
      </c>
      <c r="B23" s="9"/>
      <c r="C23" s="12" t="s">
        <v>2</v>
      </c>
      <c r="D23" s="12" t="s">
        <v>2</v>
      </c>
      <c r="E23" s="12" t="e">
        <f ca="1" t="shared" si="5"/>
        <v>#N/A</v>
      </c>
      <c r="F23" s="12" t="e">
        <f ca="1" t="shared" si="5"/>
        <v>#N/A</v>
      </c>
      <c r="G23" s="12" t="e">
        <f ca="1" t="shared" si="5"/>
        <v>#N/A</v>
      </c>
      <c r="H23" s="12" t="e">
        <f ca="1" t="shared" si="5"/>
        <v>#N/A</v>
      </c>
      <c r="I23" s="12" t="e">
        <f ca="1" t="shared" si="5"/>
        <v>#N/A</v>
      </c>
      <c r="J23" s="16"/>
      <c r="K23" s="9"/>
      <c r="L23" s="12" t="e">
        <f ca="1" t="shared" si="6"/>
        <v>#N/A</v>
      </c>
      <c r="M23" s="12" t="e">
        <f ca="1" t="shared" si="6"/>
        <v>#N/A</v>
      </c>
      <c r="N23" s="12" t="e">
        <f ca="1" t="shared" si="6"/>
        <v>#N/A</v>
      </c>
      <c r="O23" s="12" t="e">
        <f ca="1" t="shared" si="6"/>
        <v>#N/A</v>
      </c>
      <c r="P23" s="12" t="e">
        <f ca="1" t="shared" si="6"/>
        <v>#N/A</v>
      </c>
      <c r="Q23" s="12" t="e">
        <f ca="1" t="shared" si="6"/>
        <v>#N/A</v>
      </c>
      <c r="R23" s="12" t="e">
        <f ca="1" t="shared" si="6"/>
        <v>#N/A</v>
      </c>
      <c r="S23" s="16"/>
      <c r="T23" s="9"/>
      <c r="U23" t="e">
        <f ca="1" t="shared" si="7"/>
        <v>#N/A</v>
      </c>
      <c r="V23" t="e">
        <f ca="1" t="shared" si="7"/>
        <v>#N/A</v>
      </c>
      <c r="W23" t="e">
        <f ca="1" t="shared" si="7"/>
        <v>#N/A</v>
      </c>
      <c r="X23" t="e">
        <f ca="1" t="shared" si="7"/>
        <v>#N/A</v>
      </c>
      <c r="Y23" t="e">
        <f ca="1" t="shared" si="7"/>
        <v>#N/A</v>
      </c>
      <c r="Z23" t="e">
        <f ca="1" t="shared" si="7"/>
        <v>#N/A</v>
      </c>
      <c r="AA23" t="e">
        <f ca="1" t="shared" si="7"/>
        <v>#N/A</v>
      </c>
      <c r="AB23" s="16"/>
      <c r="AC23" s="9"/>
      <c r="AD23" t="e">
        <f ca="1" t="shared" si="8"/>
        <v>#N/A</v>
      </c>
      <c r="AE23" t="e">
        <f ca="1" t="shared" si="8"/>
        <v>#N/A</v>
      </c>
      <c r="AF23" t="e">
        <f ca="1" t="shared" si="8"/>
        <v>#N/A</v>
      </c>
      <c r="AG23" t="e">
        <f ca="1" t="shared" si="8"/>
        <v>#N/A</v>
      </c>
      <c r="AH23" t="e">
        <f ca="1" t="shared" si="8"/>
        <v>#N/A</v>
      </c>
      <c r="AI23" t="e">
        <f ca="1" t="shared" si="8"/>
        <v>#N/A</v>
      </c>
      <c r="AJ23" t="e">
        <f ca="1" t="shared" si="8"/>
        <v>#N/A</v>
      </c>
      <c r="AK23" s="16"/>
      <c r="AL23" s="9"/>
      <c r="AM23" t="e">
        <f ca="1" t="shared" si="9"/>
        <v>#N/A</v>
      </c>
      <c r="AN23" t="e">
        <f ca="1" t="shared" si="9"/>
        <v>#N/A</v>
      </c>
      <c r="AO23" t="e">
        <f ca="1" t="shared" si="9"/>
        <v>#N/A</v>
      </c>
      <c r="AP23" t="e">
        <f ca="1" t="shared" si="9"/>
        <v>#N/A</v>
      </c>
      <c r="AQ23" t="e">
        <f ca="1" t="shared" si="9"/>
        <v>#N/A</v>
      </c>
      <c r="AR23" t="e">
        <f ca="1" t="shared" si="9"/>
        <v>#N/A</v>
      </c>
      <c r="AS23" t="e">
        <f ca="1" t="shared" si="9"/>
        <v>#N/A</v>
      </c>
      <c r="AT23" s="16"/>
      <c r="AU23" s="18"/>
    </row>
    <row r="24" customHeight="1" spans="1:47">
      <c r="A24" s="11" t="s">
        <v>32</v>
      </c>
      <c r="B24" s="9"/>
      <c r="C24" s="12" t="s">
        <v>2</v>
      </c>
      <c r="D24" s="12" t="s">
        <v>2</v>
      </c>
      <c r="E24" s="12" t="e">
        <f ca="1" t="shared" si="5"/>
        <v>#N/A</v>
      </c>
      <c r="F24" s="12" t="e">
        <f ca="1" t="shared" si="5"/>
        <v>#N/A</v>
      </c>
      <c r="G24" s="12" t="e">
        <f ca="1" t="shared" si="5"/>
        <v>#N/A</v>
      </c>
      <c r="H24" s="12" t="e">
        <f ca="1" t="shared" si="5"/>
        <v>#N/A</v>
      </c>
      <c r="I24" s="12" t="e">
        <f ca="1" t="shared" si="5"/>
        <v>#N/A</v>
      </c>
      <c r="J24" s="13" t="s">
        <v>33</v>
      </c>
      <c r="K24" s="9"/>
      <c r="L24" s="12" t="e">
        <f ca="1" t="shared" si="6"/>
        <v>#N/A</v>
      </c>
      <c r="M24" s="12" t="e">
        <f ca="1" t="shared" si="6"/>
        <v>#N/A</v>
      </c>
      <c r="N24" s="12" t="e">
        <f ca="1" t="shared" si="6"/>
        <v>#N/A</v>
      </c>
      <c r="O24" s="12" t="e">
        <f ca="1" t="shared" si="6"/>
        <v>#N/A</v>
      </c>
      <c r="P24" s="12" t="e">
        <f ca="1" t="shared" si="6"/>
        <v>#N/A</v>
      </c>
      <c r="Q24" s="12" t="e">
        <f ca="1" t="shared" si="6"/>
        <v>#N/A</v>
      </c>
      <c r="R24" s="12" t="e">
        <f ca="1" t="shared" si="6"/>
        <v>#N/A</v>
      </c>
      <c r="S24" s="13" t="s">
        <v>33</v>
      </c>
      <c r="T24" s="9"/>
      <c r="U24" t="e">
        <f ca="1" t="shared" si="7"/>
        <v>#N/A</v>
      </c>
      <c r="V24" t="e">
        <f ca="1" t="shared" si="7"/>
        <v>#N/A</v>
      </c>
      <c r="W24" t="e">
        <f ca="1" t="shared" si="7"/>
        <v>#N/A</v>
      </c>
      <c r="X24" t="e">
        <f ca="1" t="shared" si="7"/>
        <v>#N/A</v>
      </c>
      <c r="Y24" t="e">
        <f ca="1" t="shared" si="7"/>
        <v>#N/A</v>
      </c>
      <c r="Z24" t="e">
        <f ca="1" t="shared" si="7"/>
        <v>#N/A</v>
      </c>
      <c r="AA24" t="e">
        <f ca="1" t="shared" si="7"/>
        <v>#N/A</v>
      </c>
      <c r="AB24" s="13" t="s">
        <v>33</v>
      </c>
      <c r="AC24" s="9"/>
      <c r="AD24" t="e">
        <f ca="1" t="shared" si="8"/>
        <v>#N/A</v>
      </c>
      <c r="AE24" t="e">
        <f ca="1" t="shared" si="8"/>
        <v>#N/A</v>
      </c>
      <c r="AF24" t="e">
        <f ca="1" t="shared" si="8"/>
        <v>#N/A</v>
      </c>
      <c r="AG24" t="e">
        <f ca="1" t="shared" si="8"/>
        <v>#N/A</v>
      </c>
      <c r="AH24" t="e">
        <f ca="1" t="shared" si="8"/>
        <v>#N/A</v>
      </c>
      <c r="AI24" t="e">
        <f ca="1" t="shared" si="8"/>
        <v>#N/A</v>
      </c>
      <c r="AJ24" t="e">
        <f ca="1" t="shared" si="8"/>
        <v>#N/A</v>
      </c>
      <c r="AK24" s="13" t="s">
        <v>33</v>
      </c>
      <c r="AL24" s="9"/>
      <c r="AM24" t="e">
        <f ca="1" t="shared" si="9"/>
        <v>#N/A</v>
      </c>
      <c r="AN24" t="e">
        <f ca="1" t="shared" si="9"/>
        <v>#N/A</v>
      </c>
      <c r="AO24" t="e">
        <f ca="1" t="shared" si="9"/>
        <v>#N/A</v>
      </c>
      <c r="AP24" t="e">
        <f ca="1" t="shared" si="9"/>
        <v>#N/A</v>
      </c>
      <c r="AQ24" t="e">
        <f ca="1" t="shared" si="9"/>
        <v>#N/A</v>
      </c>
      <c r="AR24" t="e">
        <f ca="1" t="shared" si="9"/>
        <v>#N/A</v>
      </c>
      <c r="AS24" t="e">
        <f ca="1" t="shared" si="9"/>
        <v>#N/A</v>
      </c>
      <c r="AT24" s="13" t="s">
        <v>33</v>
      </c>
      <c r="AU24" s="18"/>
    </row>
    <row r="25" customHeight="1" spans="1:47">
      <c r="A25" s="11" t="s">
        <v>34</v>
      </c>
      <c r="B25" s="9"/>
      <c r="C25" s="12" t="s">
        <v>2</v>
      </c>
      <c r="D25" s="12" t="s">
        <v>2</v>
      </c>
      <c r="E25" s="12" t="e">
        <f ca="1" t="shared" si="5"/>
        <v>#N/A</v>
      </c>
      <c r="F25" s="12" t="e">
        <f ca="1" t="shared" si="5"/>
        <v>#N/A</v>
      </c>
      <c r="G25" s="12" t="e">
        <f ca="1" t="shared" si="5"/>
        <v>#N/A</v>
      </c>
      <c r="H25" s="12" t="e">
        <f ca="1" t="shared" si="5"/>
        <v>#N/A</v>
      </c>
      <c r="I25" s="12" t="e">
        <f ca="1" t="shared" si="5"/>
        <v>#N/A</v>
      </c>
      <c r="J25" s="16"/>
      <c r="K25" s="9"/>
      <c r="L25" s="12" t="e">
        <f ca="1" t="shared" si="6"/>
        <v>#N/A</v>
      </c>
      <c r="M25" s="12" t="e">
        <f ca="1" t="shared" si="6"/>
        <v>#N/A</v>
      </c>
      <c r="N25" s="12" t="e">
        <f ca="1" t="shared" si="6"/>
        <v>#N/A</v>
      </c>
      <c r="O25" s="12" t="e">
        <f ca="1" t="shared" si="6"/>
        <v>#N/A</v>
      </c>
      <c r="P25" s="12" t="e">
        <f ca="1" t="shared" si="6"/>
        <v>#N/A</v>
      </c>
      <c r="Q25" s="12" t="e">
        <f ca="1" t="shared" si="6"/>
        <v>#N/A</v>
      </c>
      <c r="R25" s="12" t="e">
        <f ca="1" t="shared" si="6"/>
        <v>#N/A</v>
      </c>
      <c r="S25" s="16"/>
      <c r="T25" s="9"/>
      <c r="U25" t="e">
        <f ca="1" t="shared" si="7"/>
        <v>#N/A</v>
      </c>
      <c r="V25" t="e">
        <f ca="1" t="shared" si="7"/>
        <v>#N/A</v>
      </c>
      <c r="W25" t="e">
        <f ca="1" t="shared" si="7"/>
        <v>#N/A</v>
      </c>
      <c r="X25" t="e">
        <f ca="1" t="shared" si="7"/>
        <v>#N/A</v>
      </c>
      <c r="Y25" t="e">
        <f ca="1" t="shared" si="7"/>
        <v>#N/A</v>
      </c>
      <c r="Z25" t="e">
        <f ca="1" t="shared" si="7"/>
        <v>#N/A</v>
      </c>
      <c r="AA25" t="e">
        <f ca="1" t="shared" si="7"/>
        <v>#N/A</v>
      </c>
      <c r="AB25" s="16"/>
      <c r="AC25" s="9"/>
      <c r="AD25" t="e">
        <f ca="1" t="shared" si="8"/>
        <v>#N/A</v>
      </c>
      <c r="AE25" t="e">
        <f ca="1" t="shared" si="8"/>
        <v>#N/A</v>
      </c>
      <c r="AF25" t="e">
        <f ca="1" t="shared" si="8"/>
        <v>#N/A</v>
      </c>
      <c r="AG25" t="e">
        <f ca="1" t="shared" si="8"/>
        <v>#N/A</v>
      </c>
      <c r="AH25" t="e">
        <f ca="1" t="shared" si="8"/>
        <v>#N/A</v>
      </c>
      <c r="AI25" t="e">
        <f ca="1" t="shared" si="8"/>
        <v>#N/A</v>
      </c>
      <c r="AJ25" t="e">
        <f ca="1" t="shared" si="8"/>
        <v>#N/A</v>
      </c>
      <c r="AK25" s="16"/>
      <c r="AL25" s="9"/>
      <c r="AM25" t="e">
        <f ca="1" t="shared" si="9"/>
        <v>#N/A</v>
      </c>
      <c r="AN25" t="e">
        <f ca="1" t="shared" si="9"/>
        <v>#N/A</v>
      </c>
      <c r="AO25" t="e">
        <f ca="1" t="shared" si="9"/>
        <v>#N/A</v>
      </c>
      <c r="AP25" t="e">
        <f ca="1" t="shared" si="9"/>
        <v>#N/A</v>
      </c>
      <c r="AQ25" t="e">
        <f ca="1" t="shared" si="9"/>
        <v>#N/A</v>
      </c>
      <c r="AR25" t="e">
        <f ca="1" t="shared" si="9"/>
        <v>#N/A</v>
      </c>
      <c r="AS25" t="e">
        <f ca="1" t="shared" si="9"/>
        <v>#N/A</v>
      </c>
      <c r="AT25" s="16"/>
      <c r="AU25" s="18"/>
    </row>
    <row r="26" customHeight="1" spans="1:47">
      <c r="A26" s="11" t="s">
        <v>35</v>
      </c>
      <c r="B26" s="9"/>
      <c r="C26" s="12" t="s">
        <v>2</v>
      </c>
      <c r="D26" s="12" t="s">
        <v>2</v>
      </c>
      <c r="E26" s="12" t="e">
        <f ca="1" t="shared" si="5"/>
        <v>#N/A</v>
      </c>
      <c r="F26" s="12" t="e">
        <f ca="1" t="shared" si="5"/>
        <v>#N/A</v>
      </c>
      <c r="G26" s="12" t="e">
        <f ca="1" t="shared" si="5"/>
        <v>#N/A</v>
      </c>
      <c r="H26" s="12" t="e">
        <f ca="1" t="shared" si="5"/>
        <v>#N/A</v>
      </c>
      <c r="I26" s="12" t="e">
        <f ca="1" t="shared" si="5"/>
        <v>#N/A</v>
      </c>
      <c r="J26" s="16"/>
      <c r="K26" s="9"/>
      <c r="L26" s="12" t="e">
        <f ca="1" t="shared" si="6"/>
        <v>#N/A</v>
      </c>
      <c r="M26" s="12" t="e">
        <f ca="1" t="shared" si="6"/>
        <v>#N/A</v>
      </c>
      <c r="N26" s="12" t="e">
        <f ca="1" t="shared" si="6"/>
        <v>#N/A</v>
      </c>
      <c r="O26" s="12" t="e">
        <f ca="1" t="shared" si="6"/>
        <v>#N/A</v>
      </c>
      <c r="P26" s="12" t="e">
        <f ca="1" t="shared" si="6"/>
        <v>#N/A</v>
      </c>
      <c r="Q26" s="12" t="e">
        <f ca="1" t="shared" si="6"/>
        <v>#N/A</v>
      </c>
      <c r="R26" s="12" t="e">
        <f ca="1" t="shared" si="6"/>
        <v>#N/A</v>
      </c>
      <c r="S26" s="16"/>
      <c r="T26" s="9"/>
      <c r="U26" t="e">
        <f ca="1" t="shared" si="7"/>
        <v>#N/A</v>
      </c>
      <c r="V26" t="e">
        <f ca="1" t="shared" si="7"/>
        <v>#N/A</v>
      </c>
      <c r="W26" t="e">
        <f ca="1" t="shared" si="7"/>
        <v>#N/A</v>
      </c>
      <c r="X26" t="e">
        <f ca="1" t="shared" si="7"/>
        <v>#N/A</v>
      </c>
      <c r="Y26" t="e">
        <f ca="1" t="shared" si="7"/>
        <v>#N/A</v>
      </c>
      <c r="Z26" t="e">
        <f ca="1" t="shared" si="7"/>
        <v>#N/A</v>
      </c>
      <c r="AA26" t="e">
        <f ca="1" t="shared" si="7"/>
        <v>#N/A</v>
      </c>
      <c r="AB26" s="16"/>
      <c r="AC26" s="9"/>
      <c r="AD26" t="e">
        <f ca="1" t="shared" si="8"/>
        <v>#N/A</v>
      </c>
      <c r="AE26" t="e">
        <f ca="1" t="shared" si="8"/>
        <v>#N/A</v>
      </c>
      <c r="AF26" t="e">
        <f ca="1" t="shared" si="8"/>
        <v>#N/A</v>
      </c>
      <c r="AG26" t="e">
        <f ca="1" t="shared" si="8"/>
        <v>#N/A</v>
      </c>
      <c r="AH26" t="e">
        <f ca="1" t="shared" si="8"/>
        <v>#N/A</v>
      </c>
      <c r="AI26" t="e">
        <f ca="1" t="shared" si="8"/>
        <v>#N/A</v>
      </c>
      <c r="AJ26" t="e">
        <f ca="1" t="shared" si="8"/>
        <v>#N/A</v>
      </c>
      <c r="AK26" s="16"/>
      <c r="AL26" s="9"/>
      <c r="AM26" t="e">
        <f ca="1" t="shared" si="9"/>
        <v>#N/A</v>
      </c>
      <c r="AN26" t="e">
        <f ca="1" t="shared" si="9"/>
        <v>#N/A</v>
      </c>
      <c r="AO26" t="e">
        <f ca="1" t="shared" si="9"/>
        <v>#N/A</v>
      </c>
      <c r="AP26" t="e">
        <f ca="1" t="shared" si="9"/>
        <v>#N/A</v>
      </c>
      <c r="AQ26" t="e">
        <f ca="1" t="shared" si="9"/>
        <v>#N/A</v>
      </c>
      <c r="AR26" t="e">
        <f ca="1" t="shared" si="9"/>
        <v>#N/A</v>
      </c>
      <c r="AS26" t="e">
        <f ca="1" t="shared" si="9"/>
        <v>#N/A</v>
      </c>
      <c r="AT26" s="16"/>
      <c r="AU26" s="18"/>
    </row>
    <row r="27" customHeight="1" spans="1:47">
      <c r="A27" s="11" t="s">
        <v>36</v>
      </c>
      <c r="B27" s="9"/>
      <c r="C27" s="12" t="s">
        <v>2</v>
      </c>
      <c r="D27" s="12" t="s">
        <v>2</v>
      </c>
      <c r="E27" s="12" t="e">
        <f ca="1" t="shared" si="5"/>
        <v>#N/A</v>
      </c>
      <c r="F27" s="12" t="e">
        <f ca="1" t="shared" si="5"/>
        <v>#N/A</v>
      </c>
      <c r="G27" s="12" t="e">
        <f ca="1" t="shared" si="5"/>
        <v>#N/A</v>
      </c>
      <c r="H27" s="12" t="e">
        <f ca="1" t="shared" si="5"/>
        <v>#N/A</v>
      </c>
      <c r="I27" s="12" t="e">
        <f ca="1" t="shared" si="5"/>
        <v>#N/A</v>
      </c>
      <c r="J27" s="16"/>
      <c r="K27" s="9"/>
      <c r="L27" s="12" t="e">
        <f ca="1" t="shared" si="6"/>
        <v>#N/A</v>
      </c>
      <c r="M27" s="12" t="e">
        <f ca="1" t="shared" si="6"/>
        <v>#N/A</v>
      </c>
      <c r="N27" s="12" t="e">
        <f ca="1" t="shared" si="6"/>
        <v>#N/A</v>
      </c>
      <c r="O27" s="12" t="e">
        <f ca="1" t="shared" si="6"/>
        <v>#N/A</v>
      </c>
      <c r="P27" s="12" t="e">
        <f ca="1" t="shared" si="6"/>
        <v>#N/A</v>
      </c>
      <c r="Q27" s="12" t="e">
        <f ca="1" t="shared" si="6"/>
        <v>#N/A</v>
      </c>
      <c r="R27" s="12" t="e">
        <f ca="1" t="shared" si="6"/>
        <v>#N/A</v>
      </c>
      <c r="S27" s="16"/>
      <c r="T27" s="9"/>
      <c r="U27" t="e">
        <f ca="1" t="shared" si="7"/>
        <v>#N/A</v>
      </c>
      <c r="V27" t="e">
        <f ca="1" t="shared" si="7"/>
        <v>#N/A</v>
      </c>
      <c r="W27" t="e">
        <f ca="1" t="shared" si="7"/>
        <v>#N/A</v>
      </c>
      <c r="X27" t="e">
        <f ca="1" t="shared" si="7"/>
        <v>#N/A</v>
      </c>
      <c r="Y27" t="e">
        <f ca="1" t="shared" si="7"/>
        <v>#N/A</v>
      </c>
      <c r="Z27" t="e">
        <f ca="1" t="shared" si="7"/>
        <v>#N/A</v>
      </c>
      <c r="AA27" t="e">
        <f ca="1" t="shared" si="7"/>
        <v>#N/A</v>
      </c>
      <c r="AB27" s="16"/>
      <c r="AC27" s="9"/>
      <c r="AD27" t="e">
        <f ca="1" t="shared" si="8"/>
        <v>#N/A</v>
      </c>
      <c r="AE27" t="e">
        <f ca="1" t="shared" si="8"/>
        <v>#N/A</v>
      </c>
      <c r="AF27" t="e">
        <f ca="1" t="shared" si="8"/>
        <v>#N/A</v>
      </c>
      <c r="AG27" t="e">
        <f ca="1" t="shared" si="8"/>
        <v>#N/A</v>
      </c>
      <c r="AH27" t="e">
        <f ca="1" t="shared" si="8"/>
        <v>#N/A</v>
      </c>
      <c r="AI27" t="e">
        <f ca="1" t="shared" si="8"/>
        <v>#N/A</v>
      </c>
      <c r="AJ27" t="e">
        <f ca="1" t="shared" si="8"/>
        <v>#N/A</v>
      </c>
      <c r="AK27" s="16"/>
      <c r="AL27" s="9"/>
      <c r="AM27" t="e">
        <f ca="1" t="shared" si="9"/>
        <v>#N/A</v>
      </c>
      <c r="AN27" t="e">
        <f ca="1" t="shared" si="9"/>
        <v>#N/A</v>
      </c>
      <c r="AO27" t="e">
        <f ca="1" t="shared" si="9"/>
        <v>#N/A</v>
      </c>
      <c r="AP27" t="e">
        <f ca="1" t="shared" si="9"/>
        <v>#N/A</v>
      </c>
      <c r="AQ27" t="e">
        <f ca="1" t="shared" si="9"/>
        <v>#N/A</v>
      </c>
      <c r="AR27" t="e">
        <f ca="1" t="shared" si="9"/>
        <v>#N/A</v>
      </c>
      <c r="AS27" t="e">
        <f ca="1" t="shared" si="9"/>
        <v>#N/A</v>
      </c>
      <c r="AT27" s="16"/>
      <c r="AU27" s="18"/>
    </row>
    <row r="28" customHeight="1" spans="1:47">
      <c r="A28" s="11" t="s">
        <v>37</v>
      </c>
      <c r="B28" s="9"/>
      <c r="C28" s="12" t="s">
        <v>2</v>
      </c>
      <c r="D28" s="12" t="s">
        <v>2</v>
      </c>
      <c r="E28" s="12" t="e">
        <f ca="1" t="shared" ref="C28:I40" si="10">AA</f>
        <v>#N/A</v>
      </c>
      <c r="F28" s="12" t="e">
        <f ca="1" t="shared" si="10"/>
        <v>#N/A</v>
      </c>
      <c r="G28" s="12" t="e">
        <f ca="1" t="shared" si="10"/>
        <v>#N/A</v>
      </c>
      <c r="H28" s="12" t="e">
        <f ca="1" t="shared" si="10"/>
        <v>#N/A</v>
      </c>
      <c r="I28" s="12" t="e">
        <f ca="1" t="shared" si="10"/>
        <v>#N/A</v>
      </c>
      <c r="J28" s="16"/>
      <c r="K28" s="9"/>
      <c r="L28" s="12" t="e">
        <f ca="1" t="shared" ref="L28:R40" si="11">AA</f>
        <v>#N/A</v>
      </c>
      <c r="M28" s="12" t="e">
        <f ca="1" t="shared" si="11"/>
        <v>#N/A</v>
      </c>
      <c r="N28" s="12" t="e">
        <f ca="1" t="shared" si="11"/>
        <v>#N/A</v>
      </c>
      <c r="O28" s="12" t="e">
        <f ca="1" t="shared" si="11"/>
        <v>#N/A</v>
      </c>
      <c r="P28" s="12" t="e">
        <f ca="1" t="shared" si="11"/>
        <v>#N/A</v>
      </c>
      <c r="Q28" s="12" t="e">
        <f ca="1" t="shared" si="11"/>
        <v>#N/A</v>
      </c>
      <c r="R28" s="12" t="e">
        <f ca="1" t="shared" si="11"/>
        <v>#N/A</v>
      </c>
      <c r="S28" s="16"/>
      <c r="T28" s="9"/>
      <c r="U28" t="e">
        <f ca="1" t="shared" ref="U28:AA40" si="12">AA</f>
        <v>#N/A</v>
      </c>
      <c r="V28" t="e">
        <f ca="1" t="shared" si="12"/>
        <v>#N/A</v>
      </c>
      <c r="W28" t="e">
        <f ca="1" t="shared" si="12"/>
        <v>#N/A</v>
      </c>
      <c r="X28" t="e">
        <f ca="1" t="shared" si="12"/>
        <v>#N/A</v>
      </c>
      <c r="Y28" t="e">
        <f ca="1" t="shared" si="12"/>
        <v>#N/A</v>
      </c>
      <c r="Z28" t="e">
        <f ca="1" t="shared" si="12"/>
        <v>#N/A</v>
      </c>
      <c r="AA28" t="e">
        <f ca="1" t="shared" si="12"/>
        <v>#N/A</v>
      </c>
      <c r="AB28" s="16"/>
      <c r="AC28" s="9"/>
      <c r="AD28" t="e">
        <f ca="1" t="shared" ref="AD28:AJ40" si="13">AA</f>
        <v>#N/A</v>
      </c>
      <c r="AE28" t="e">
        <f ca="1" t="shared" si="13"/>
        <v>#N/A</v>
      </c>
      <c r="AF28" t="e">
        <f ca="1" t="shared" si="13"/>
        <v>#N/A</v>
      </c>
      <c r="AG28" t="e">
        <f ca="1" t="shared" si="13"/>
        <v>#N/A</v>
      </c>
      <c r="AH28" t="e">
        <f ca="1" t="shared" si="13"/>
        <v>#N/A</v>
      </c>
      <c r="AI28" t="e">
        <f ca="1" t="shared" si="13"/>
        <v>#N/A</v>
      </c>
      <c r="AJ28" t="e">
        <f ca="1" t="shared" si="13"/>
        <v>#N/A</v>
      </c>
      <c r="AK28" s="16"/>
      <c r="AL28" s="9"/>
      <c r="AM28" t="e">
        <f ca="1" t="shared" ref="AM28:AS40" si="14">AA</f>
        <v>#N/A</v>
      </c>
      <c r="AN28" t="e">
        <f ca="1" t="shared" si="14"/>
        <v>#N/A</v>
      </c>
      <c r="AO28" t="e">
        <f ca="1" t="shared" si="14"/>
        <v>#N/A</v>
      </c>
      <c r="AP28" t="e">
        <f ca="1" t="shared" si="14"/>
        <v>#N/A</v>
      </c>
      <c r="AQ28" t="e">
        <f ca="1" t="shared" si="14"/>
        <v>#N/A</v>
      </c>
      <c r="AR28" t="e">
        <f ca="1" t="shared" si="14"/>
        <v>#N/A</v>
      </c>
      <c r="AS28" t="e">
        <f ca="1" t="shared" si="14"/>
        <v>#N/A</v>
      </c>
      <c r="AT28" s="16"/>
      <c r="AU28" s="18"/>
    </row>
    <row r="29" customHeight="1" spans="1:47">
      <c r="A29" s="11" t="s">
        <v>38</v>
      </c>
      <c r="B29" s="9"/>
      <c r="C29" s="12" t="s">
        <v>4</v>
      </c>
      <c r="D29" s="12" t="s">
        <v>2</v>
      </c>
      <c r="E29" s="12" t="e">
        <f ca="1" t="shared" si="10"/>
        <v>#N/A</v>
      </c>
      <c r="F29" s="12" t="e">
        <f ca="1" t="shared" si="10"/>
        <v>#N/A</v>
      </c>
      <c r="G29" s="12" t="e">
        <f ca="1" t="shared" si="10"/>
        <v>#N/A</v>
      </c>
      <c r="H29" s="12" t="e">
        <f ca="1" t="shared" si="10"/>
        <v>#N/A</v>
      </c>
      <c r="I29" s="12" t="e">
        <f ca="1" t="shared" si="10"/>
        <v>#N/A</v>
      </c>
      <c r="J29" s="16"/>
      <c r="K29" s="9"/>
      <c r="L29" s="12" t="e">
        <f ca="1" t="shared" si="11"/>
        <v>#N/A</v>
      </c>
      <c r="M29" s="12" t="e">
        <f ca="1" t="shared" si="11"/>
        <v>#N/A</v>
      </c>
      <c r="N29" s="12" t="e">
        <f ca="1" t="shared" si="11"/>
        <v>#N/A</v>
      </c>
      <c r="O29" s="12" t="e">
        <f ca="1" t="shared" si="11"/>
        <v>#N/A</v>
      </c>
      <c r="P29" s="12" t="e">
        <f ca="1" t="shared" si="11"/>
        <v>#N/A</v>
      </c>
      <c r="Q29" s="12" t="e">
        <f ca="1" t="shared" si="11"/>
        <v>#N/A</v>
      </c>
      <c r="R29" s="12" t="e">
        <f ca="1" t="shared" si="11"/>
        <v>#N/A</v>
      </c>
      <c r="S29" s="16"/>
      <c r="T29" s="9"/>
      <c r="U29" t="e">
        <f ca="1" t="shared" si="12"/>
        <v>#N/A</v>
      </c>
      <c r="V29" t="e">
        <f ca="1" t="shared" si="12"/>
        <v>#N/A</v>
      </c>
      <c r="W29" t="e">
        <f ca="1" t="shared" si="12"/>
        <v>#N/A</v>
      </c>
      <c r="X29" t="e">
        <f ca="1" t="shared" si="12"/>
        <v>#N/A</v>
      </c>
      <c r="Y29" t="e">
        <f ca="1" t="shared" si="12"/>
        <v>#N/A</v>
      </c>
      <c r="Z29" t="e">
        <f ca="1" t="shared" si="12"/>
        <v>#N/A</v>
      </c>
      <c r="AA29" t="e">
        <f ca="1" t="shared" si="12"/>
        <v>#N/A</v>
      </c>
      <c r="AB29" s="16"/>
      <c r="AC29" s="9"/>
      <c r="AD29" t="e">
        <f ca="1" t="shared" si="13"/>
        <v>#N/A</v>
      </c>
      <c r="AE29" t="e">
        <f ca="1" t="shared" si="13"/>
        <v>#N/A</v>
      </c>
      <c r="AF29" t="e">
        <f ca="1" t="shared" si="13"/>
        <v>#N/A</v>
      </c>
      <c r="AG29" t="e">
        <f ca="1" t="shared" si="13"/>
        <v>#N/A</v>
      </c>
      <c r="AH29" t="e">
        <f ca="1" t="shared" si="13"/>
        <v>#N/A</v>
      </c>
      <c r="AI29" t="e">
        <f ca="1" t="shared" si="13"/>
        <v>#N/A</v>
      </c>
      <c r="AJ29" t="e">
        <f ca="1" t="shared" si="13"/>
        <v>#N/A</v>
      </c>
      <c r="AK29" s="16"/>
      <c r="AL29" s="9"/>
      <c r="AM29" t="e">
        <f ca="1" t="shared" si="14"/>
        <v>#N/A</v>
      </c>
      <c r="AN29" t="e">
        <f ca="1" t="shared" si="14"/>
        <v>#N/A</v>
      </c>
      <c r="AO29" t="e">
        <f ca="1" t="shared" si="14"/>
        <v>#N/A</v>
      </c>
      <c r="AP29" t="e">
        <f ca="1" t="shared" si="14"/>
        <v>#N/A</v>
      </c>
      <c r="AQ29" t="e">
        <f ca="1" t="shared" si="14"/>
        <v>#N/A</v>
      </c>
      <c r="AR29" t="e">
        <f ca="1" t="shared" si="14"/>
        <v>#N/A</v>
      </c>
      <c r="AS29" t="e">
        <f ca="1" t="shared" si="14"/>
        <v>#N/A</v>
      </c>
      <c r="AT29" s="16"/>
      <c r="AU29" s="18"/>
    </row>
    <row r="30" customHeight="1" spans="1:47">
      <c r="A30" s="11" t="s">
        <v>39</v>
      </c>
      <c r="B30" s="9"/>
      <c r="C30" s="12" t="s">
        <v>4</v>
      </c>
      <c r="D30" s="12" t="s">
        <v>0</v>
      </c>
      <c r="E30" s="12" t="e">
        <f ca="1" t="shared" si="10"/>
        <v>#N/A</v>
      </c>
      <c r="F30" s="12" t="e">
        <f ca="1" t="shared" si="10"/>
        <v>#N/A</v>
      </c>
      <c r="G30" s="12" t="e">
        <f ca="1" t="shared" si="10"/>
        <v>#N/A</v>
      </c>
      <c r="H30" s="12" t="e">
        <f ca="1" t="shared" si="10"/>
        <v>#N/A</v>
      </c>
      <c r="I30" s="12" t="e">
        <f ca="1" t="shared" si="10"/>
        <v>#N/A</v>
      </c>
      <c r="J30" s="13" t="s">
        <v>40</v>
      </c>
      <c r="K30" s="9"/>
      <c r="L30" s="12" t="e">
        <f ca="1" t="shared" si="11"/>
        <v>#N/A</v>
      </c>
      <c r="M30" s="12" t="e">
        <f ca="1" t="shared" si="11"/>
        <v>#N/A</v>
      </c>
      <c r="N30" s="12" t="e">
        <f ca="1" t="shared" si="11"/>
        <v>#N/A</v>
      </c>
      <c r="O30" s="12" t="e">
        <f ca="1" t="shared" si="11"/>
        <v>#N/A</v>
      </c>
      <c r="P30" s="12" t="e">
        <f ca="1" t="shared" si="11"/>
        <v>#N/A</v>
      </c>
      <c r="Q30" s="12" t="e">
        <f ca="1" t="shared" si="11"/>
        <v>#N/A</v>
      </c>
      <c r="R30" s="12" t="e">
        <f ca="1" t="shared" si="11"/>
        <v>#N/A</v>
      </c>
      <c r="S30" s="13" t="s">
        <v>40</v>
      </c>
      <c r="T30" s="9"/>
      <c r="U30" t="e">
        <f ca="1" t="shared" si="12"/>
        <v>#N/A</v>
      </c>
      <c r="V30" t="e">
        <f ca="1" t="shared" si="12"/>
        <v>#N/A</v>
      </c>
      <c r="W30" t="e">
        <f ca="1" t="shared" si="12"/>
        <v>#N/A</v>
      </c>
      <c r="X30" t="e">
        <f ca="1" t="shared" si="12"/>
        <v>#N/A</v>
      </c>
      <c r="Y30" t="e">
        <f ca="1" t="shared" si="12"/>
        <v>#N/A</v>
      </c>
      <c r="Z30" t="e">
        <f ca="1" t="shared" si="12"/>
        <v>#N/A</v>
      </c>
      <c r="AA30" t="e">
        <f ca="1" t="shared" si="12"/>
        <v>#N/A</v>
      </c>
      <c r="AB30" s="13" t="s">
        <v>40</v>
      </c>
      <c r="AC30" s="9"/>
      <c r="AD30" t="e">
        <f ca="1" t="shared" si="13"/>
        <v>#N/A</v>
      </c>
      <c r="AE30" t="e">
        <f ca="1" t="shared" si="13"/>
        <v>#N/A</v>
      </c>
      <c r="AF30" t="e">
        <f ca="1" t="shared" si="13"/>
        <v>#N/A</v>
      </c>
      <c r="AG30" t="e">
        <f ca="1" t="shared" si="13"/>
        <v>#N/A</v>
      </c>
      <c r="AH30" t="e">
        <f ca="1" t="shared" si="13"/>
        <v>#N/A</v>
      </c>
      <c r="AI30" t="e">
        <f ca="1" t="shared" si="13"/>
        <v>#N/A</v>
      </c>
      <c r="AJ30" t="e">
        <f ca="1" t="shared" si="13"/>
        <v>#N/A</v>
      </c>
      <c r="AK30" s="13" t="s">
        <v>40</v>
      </c>
      <c r="AL30" s="9"/>
      <c r="AM30" t="e">
        <f ca="1" t="shared" si="14"/>
        <v>#N/A</v>
      </c>
      <c r="AN30" t="e">
        <f ca="1" t="shared" si="14"/>
        <v>#N/A</v>
      </c>
      <c r="AO30" t="e">
        <f ca="1" t="shared" si="14"/>
        <v>#N/A</v>
      </c>
      <c r="AP30" t="e">
        <f ca="1" t="shared" si="14"/>
        <v>#N/A</v>
      </c>
      <c r="AQ30" t="e">
        <f ca="1" t="shared" si="14"/>
        <v>#N/A</v>
      </c>
      <c r="AR30" t="e">
        <f ca="1" t="shared" si="14"/>
        <v>#N/A</v>
      </c>
      <c r="AS30" t="e">
        <f ca="1" t="shared" si="14"/>
        <v>#N/A</v>
      </c>
      <c r="AT30" s="13" t="s">
        <v>40</v>
      </c>
      <c r="AU30" s="18"/>
    </row>
    <row r="31" customHeight="1" spans="1:47">
      <c r="A31" s="11" t="s">
        <v>41</v>
      </c>
      <c r="B31" s="9"/>
      <c r="C31" s="12" t="s">
        <v>4</v>
      </c>
      <c r="D31" s="12" t="s">
        <v>1</v>
      </c>
      <c r="E31" s="12" t="e">
        <f ca="1" t="shared" si="10"/>
        <v>#N/A</v>
      </c>
      <c r="F31" s="12" t="e">
        <f ca="1" t="shared" si="10"/>
        <v>#N/A</v>
      </c>
      <c r="G31" s="12" t="e">
        <f ca="1" t="shared" si="10"/>
        <v>#N/A</v>
      </c>
      <c r="H31" s="12" t="e">
        <f ca="1" t="shared" si="10"/>
        <v>#N/A</v>
      </c>
      <c r="I31" s="12" t="e">
        <f ca="1" t="shared" si="10"/>
        <v>#N/A</v>
      </c>
      <c r="J31" s="15"/>
      <c r="K31" s="9"/>
      <c r="L31" s="12" t="e">
        <f ca="1" t="shared" si="11"/>
        <v>#N/A</v>
      </c>
      <c r="M31" s="12" t="e">
        <f ca="1" t="shared" si="11"/>
        <v>#N/A</v>
      </c>
      <c r="N31" s="12" t="e">
        <f ca="1" t="shared" si="11"/>
        <v>#N/A</v>
      </c>
      <c r="O31" s="12" t="e">
        <f ca="1" t="shared" si="11"/>
        <v>#N/A</v>
      </c>
      <c r="P31" s="12" t="e">
        <f ca="1" t="shared" si="11"/>
        <v>#N/A</v>
      </c>
      <c r="Q31" s="12" t="e">
        <f ca="1" t="shared" si="11"/>
        <v>#N/A</v>
      </c>
      <c r="R31" s="12" t="e">
        <f ca="1" t="shared" si="11"/>
        <v>#N/A</v>
      </c>
      <c r="S31" s="15"/>
      <c r="T31" s="9"/>
      <c r="U31" t="e">
        <f ca="1" t="shared" si="12"/>
        <v>#N/A</v>
      </c>
      <c r="V31" t="e">
        <f ca="1" t="shared" si="12"/>
        <v>#N/A</v>
      </c>
      <c r="W31" t="e">
        <f ca="1" t="shared" si="12"/>
        <v>#N/A</v>
      </c>
      <c r="X31" t="e">
        <f ca="1" t="shared" si="12"/>
        <v>#N/A</v>
      </c>
      <c r="Y31" t="e">
        <f ca="1" t="shared" si="12"/>
        <v>#N/A</v>
      </c>
      <c r="Z31" t="e">
        <f ca="1" t="shared" si="12"/>
        <v>#N/A</v>
      </c>
      <c r="AA31" t="e">
        <f ca="1" t="shared" si="12"/>
        <v>#N/A</v>
      </c>
      <c r="AB31" s="15"/>
      <c r="AC31" s="9"/>
      <c r="AD31" t="e">
        <f ca="1" t="shared" si="13"/>
        <v>#N/A</v>
      </c>
      <c r="AE31" t="e">
        <f ca="1" t="shared" si="13"/>
        <v>#N/A</v>
      </c>
      <c r="AF31" t="e">
        <f ca="1" t="shared" si="13"/>
        <v>#N/A</v>
      </c>
      <c r="AG31" t="e">
        <f ca="1" t="shared" si="13"/>
        <v>#N/A</v>
      </c>
      <c r="AH31" t="e">
        <f ca="1" t="shared" si="13"/>
        <v>#N/A</v>
      </c>
      <c r="AI31" t="e">
        <f ca="1" t="shared" si="13"/>
        <v>#N/A</v>
      </c>
      <c r="AJ31" t="e">
        <f ca="1" t="shared" si="13"/>
        <v>#N/A</v>
      </c>
      <c r="AK31" s="15"/>
      <c r="AL31" s="9"/>
      <c r="AM31" t="e">
        <f ca="1" t="shared" si="14"/>
        <v>#N/A</v>
      </c>
      <c r="AN31" t="e">
        <f ca="1" t="shared" si="14"/>
        <v>#N/A</v>
      </c>
      <c r="AO31" t="e">
        <f ca="1" t="shared" si="14"/>
        <v>#N/A</v>
      </c>
      <c r="AP31" t="e">
        <f ca="1" t="shared" si="14"/>
        <v>#N/A</v>
      </c>
      <c r="AQ31" t="e">
        <f ca="1" t="shared" si="14"/>
        <v>#N/A</v>
      </c>
      <c r="AR31" t="e">
        <f ca="1" t="shared" si="14"/>
        <v>#N/A</v>
      </c>
      <c r="AS31" t="e">
        <f ca="1" t="shared" si="14"/>
        <v>#N/A</v>
      </c>
      <c r="AT31" s="15"/>
      <c r="AU31" s="18"/>
    </row>
    <row r="32" customHeight="1" spans="1:47">
      <c r="A32" s="11" t="s">
        <v>42</v>
      </c>
      <c r="B32" s="9"/>
      <c r="C32" s="12" t="s">
        <v>4</v>
      </c>
      <c r="D32" s="12" t="s">
        <v>1</v>
      </c>
      <c r="E32" s="12" t="e">
        <f ca="1" t="shared" si="10"/>
        <v>#N/A</v>
      </c>
      <c r="F32" s="12" t="e">
        <f ca="1" t="shared" si="10"/>
        <v>#N/A</v>
      </c>
      <c r="G32" s="12" t="e">
        <f ca="1" t="shared" si="10"/>
        <v>#N/A</v>
      </c>
      <c r="H32" s="12" t="e">
        <f ca="1" t="shared" si="10"/>
        <v>#N/A</v>
      </c>
      <c r="I32" s="12" t="e">
        <f ca="1" t="shared" si="10"/>
        <v>#N/A</v>
      </c>
      <c r="J32" s="15"/>
      <c r="K32" s="9"/>
      <c r="L32" s="12" t="e">
        <f ca="1" t="shared" si="11"/>
        <v>#N/A</v>
      </c>
      <c r="M32" s="12" t="e">
        <f ca="1" t="shared" si="11"/>
        <v>#N/A</v>
      </c>
      <c r="N32" s="12" t="e">
        <f ca="1" t="shared" si="11"/>
        <v>#N/A</v>
      </c>
      <c r="O32" s="12" t="e">
        <f ca="1" t="shared" si="11"/>
        <v>#N/A</v>
      </c>
      <c r="P32" s="12" t="e">
        <f ca="1" t="shared" si="11"/>
        <v>#N/A</v>
      </c>
      <c r="Q32" s="12" t="e">
        <f ca="1" t="shared" si="11"/>
        <v>#N/A</v>
      </c>
      <c r="R32" s="12" t="e">
        <f ca="1" t="shared" si="11"/>
        <v>#N/A</v>
      </c>
      <c r="S32" s="15"/>
      <c r="T32" s="9"/>
      <c r="U32" t="e">
        <f ca="1" t="shared" si="12"/>
        <v>#N/A</v>
      </c>
      <c r="V32" t="e">
        <f ca="1" t="shared" si="12"/>
        <v>#N/A</v>
      </c>
      <c r="W32" t="e">
        <f ca="1" t="shared" si="12"/>
        <v>#N/A</v>
      </c>
      <c r="X32" t="e">
        <f ca="1" t="shared" si="12"/>
        <v>#N/A</v>
      </c>
      <c r="Y32" t="e">
        <f ca="1" t="shared" si="12"/>
        <v>#N/A</v>
      </c>
      <c r="Z32" t="e">
        <f ca="1" t="shared" si="12"/>
        <v>#N/A</v>
      </c>
      <c r="AA32" t="e">
        <f ca="1" t="shared" si="12"/>
        <v>#N/A</v>
      </c>
      <c r="AB32" s="15"/>
      <c r="AC32" s="9"/>
      <c r="AD32" t="e">
        <f ca="1" t="shared" si="13"/>
        <v>#N/A</v>
      </c>
      <c r="AE32" t="e">
        <f ca="1" t="shared" si="13"/>
        <v>#N/A</v>
      </c>
      <c r="AF32" t="e">
        <f ca="1" t="shared" si="13"/>
        <v>#N/A</v>
      </c>
      <c r="AG32" t="e">
        <f ca="1" t="shared" si="13"/>
        <v>#N/A</v>
      </c>
      <c r="AH32" t="e">
        <f ca="1" t="shared" si="13"/>
        <v>#N/A</v>
      </c>
      <c r="AI32" t="e">
        <f ca="1" t="shared" si="13"/>
        <v>#N/A</v>
      </c>
      <c r="AJ32" t="e">
        <f ca="1" t="shared" si="13"/>
        <v>#N/A</v>
      </c>
      <c r="AK32" s="15"/>
      <c r="AL32" s="9"/>
      <c r="AM32" t="e">
        <f ca="1" t="shared" si="14"/>
        <v>#N/A</v>
      </c>
      <c r="AN32" t="e">
        <f ca="1" t="shared" si="14"/>
        <v>#N/A</v>
      </c>
      <c r="AO32" t="e">
        <f ca="1" t="shared" si="14"/>
        <v>#N/A</v>
      </c>
      <c r="AP32" t="e">
        <f ca="1" t="shared" si="14"/>
        <v>#N/A</v>
      </c>
      <c r="AQ32" t="e">
        <f ca="1" t="shared" si="14"/>
        <v>#N/A</v>
      </c>
      <c r="AR32" t="e">
        <f ca="1" t="shared" si="14"/>
        <v>#N/A</v>
      </c>
      <c r="AS32" t="e">
        <f ca="1" t="shared" si="14"/>
        <v>#N/A</v>
      </c>
      <c r="AT32" s="15"/>
      <c r="AU32" s="18"/>
    </row>
    <row r="33" customHeight="1" spans="1:47">
      <c r="A33" s="11" t="s">
        <v>43</v>
      </c>
      <c r="B33" s="9"/>
      <c r="C33" s="12" t="s">
        <v>0</v>
      </c>
      <c r="D33" s="12" t="s">
        <v>1</v>
      </c>
      <c r="E33" s="12" t="e">
        <f ca="1" t="shared" si="10"/>
        <v>#N/A</v>
      </c>
      <c r="F33" s="12" t="e">
        <f ca="1" t="shared" si="10"/>
        <v>#N/A</v>
      </c>
      <c r="G33" s="12" t="e">
        <f ca="1" t="shared" si="10"/>
        <v>#N/A</v>
      </c>
      <c r="H33" s="12" t="e">
        <f ca="1" t="shared" si="10"/>
        <v>#N/A</v>
      </c>
      <c r="I33" s="12" t="e">
        <f ca="1" t="shared" si="10"/>
        <v>#N/A</v>
      </c>
      <c r="J33" s="15"/>
      <c r="K33" s="9"/>
      <c r="L33" s="12" t="e">
        <f ca="1" t="shared" si="11"/>
        <v>#N/A</v>
      </c>
      <c r="M33" s="12" t="e">
        <f ca="1" t="shared" si="11"/>
        <v>#N/A</v>
      </c>
      <c r="N33" s="12" t="e">
        <f ca="1" t="shared" si="11"/>
        <v>#N/A</v>
      </c>
      <c r="O33" s="12" t="e">
        <f ca="1" t="shared" si="11"/>
        <v>#N/A</v>
      </c>
      <c r="P33" s="12" t="e">
        <f ca="1" t="shared" si="11"/>
        <v>#N/A</v>
      </c>
      <c r="Q33" s="12" t="e">
        <f ca="1" t="shared" si="11"/>
        <v>#N/A</v>
      </c>
      <c r="R33" s="12" t="e">
        <f ca="1" t="shared" si="11"/>
        <v>#N/A</v>
      </c>
      <c r="S33" s="15"/>
      <c r="T33" s="9"/>
      <c r="U33" t="e">
        <f ca="1" t="shared" si="12"/>
        <v>#N/A</v>
      </c>
      <c r="V33" t="e">
        <f ca="1" t="shared" si="12"/>
        <v>#N/A</v>
      </c>
      <c r="W33" t="e">
        <f ca="1" t="shared" si="12"/>
        <v>#N/A</v>
      </c>
      <c r="X33" t="e">
        <f ca="1" t="shared" si="12"/>
        <v>#N/A</v>
      </c>
      <c r="Y33" t="e">
        <f ca="1" t="shared" si="12"/>
        <v>#N/A</v>
      </c>
      <c r="Z33" t="e">
        <f ca="1" t="shared" si="12"/>
        <v>#N/A</v>
      </c>
      <c r="AA33" t="e">
        <f ca="1" t="shared" si="12"/>
        <v>#N/A</v>
      </c>
      <c r="AB33" s="15"/>
      <c r="AC33" s="9"/>
      <c r="AD33" t="e">
        <f ca="1" t="shared" si="13"/>
        <v>#N/A</v>
      </c>
      <c r="AE33" t="e">
        <f ca="1" t="shared" si="13"/>
        <v>#N/A</v>
      </c>
      <c r="AF33" t="e">
        <f ca="1" t="shared" si="13"/>
        <v>#N/A</v>
      </c>
      <c r="AG33" t="e">
        <f ca="1" t="shared" si="13"/>
        <v>#N/A</v>
      </c>
      <c r="AH33" t="e">
        <f ca="1" t="shared" si="13"/>
        <v>#N/A</v>
      </c>
      <c r="AI33" t="e">
        <f ca="1" t="shared" si="13"/>
        <v>#N/A</v>
      </c>
      <c r="AJ33" t="e">
        <f ca="1" t="shared" si="13"/>
        <v>#N/A</v>
      </c>
      <c r="AK33" s="15"/>
      <c r="AL33" s="9"/>
      <c r="AM33" t="e">
        <f ca="1" t="shared" si="14"/>
        <v>#N/A</v>
      </c>
      <c r="AN33" t="e">
        <f ca="1" t="shared" si="14"/>
        <v>#N/A</v>
      </c>
      <c r="AO33" t="e">
        <f ca="1" t="shared" si="14"/>
        <v>#N/A</v>
      </c>
      <c r="AP33" t="e">
        <f ca="1" t="shared" si="14"/>
        <v>#N/A</v>
      </c>
      <c r="AQ33" t="e">
        <f ca="1" t="shared" si="14"/>
        <v>#N/A</v>
      </c>
      <c r="AR33" t="e">
        <f ca="1" t="shared" si="14"/>
        <v>#N/A</v>
      </c>
      <c r="AS33" t="e">
        <f ca="1" t="shared" si="14"/>
        <v>#N/A</v>
      </c>
      <c r="AT33" s="15"/>
      <c r="AU33" s="18"/>
    </row>
    <row r="34" customHeight="1" spans="1:47">
      <c r="A34" s="11" t="s">
        <v>44</v>
      </c>
      <c r="B34" s="9"/>
      <c r="C34" s="12" t="s">
        <v>0</v>
      </c>
      <c r="D34" s="12" t="s">
        <v>0</v>
      </c>
      <c r="E34" s="12" t="e">
        <f ca="1" t="shared" si="10"/>
        <v>#N/A</v>
      </c>
      <c r="F34" s="12" t="e">
        <f ca="1" t="shared" si="10"/>
        <v>#N/A</v>
      </c>
      <c r="G34" s="12" t="e">
        <f ca="1" t="shared" si="10"/>
        <v>#N/A</v>
      </c>
      <c r="H34" s="12" t="e">
        <f ca="1" t="shared" si="10"/>
        <v>#N/A</v>
      </c>
      <c r="I34" s="12" t="e">
        <f ca="1" t="shared" si="10"/>
        <v>#N/A</v>
      </c>
      <c r="J34" s="15"/>
      <c r="K34" s="9"/>
      <c r="L34" s="12" t="e">
        <f ca="1" t="shared" si="11"/>
        <v>#N/A</v>
      </c>
      <c r="M34" s="12" t="e">
        <f ca="1" t="shared" si="11"/>
        <v>#N/A</v>
      </c>
      <c r="N34" s="12" t="e">
        <f ca="1" t="shared" si="11"/>
        <v>#N/A</v>
      </c>
      <c r="O34" s="12" t="e">
        <f ca="1" t="shared" si="11"/>
        <v>#N/A</v>
      </c>
      <c r="P34" s="12" t="e">
        <f ca="1" t="shared" si="11"/>
        <v>#N/A</v>
      </c>
      <c r="Q34" s="12" t="e">
        <f ca="1" t="shared" si="11"/>
        <v>#N/A</v>
      </c>
      <c r="R34" s="12" t="e">
        <f ca="1" t="shared" si="11"/>
        <v>#N/A</v>
      </c>
      <c r="S34" s="15"/>
      <c r="T34" s="9"/>
      <c r="U34" t="e">
        <f ca="1" t="shared" si="12"/>
        <v>#N/A</v>
      </c>
      <c r="V34" t="e">
        <f ca="1" t="shared" si="12"/>
        <v>#N/A</v>
      </c>
      <c r="W34" t="e">
        <f ca="1" t="shared" si="12"/>
        <v>#N/A</v>
      </c>
      <c r="X34" t="e">
        <f ca="1" t="shared" si="12"/>
        <v>#N/A</v>
      </c>
      <c r="Y34" t="e">
        <f ca="1" t="shared" si="12"/>
        <v>#N/A</v>
      </c>
      <c r="Z34" t="e">
        <f ca="1" t="shared" si="12"/>
        <v>#N/A</v>
      </c>
      <c r="AA34" t="e">
        <f ca="1" t="shared" si="12"/>
        <v>#N/A</v>
      </c>
      <c r="AB34" s="15"/>
      <c r="AC34" s="9"/>
      <c r="AD34" t="e">
        <f ca="1" t="shared" si="13"/>
        <v>#N/A</v>
      </c>
      <c r="AE34" t="e">
        <f ca="1" t="shared" si="13"/>
        <v>#N/A</v>
      </c>
      <c r="AF34" t="e">
        <f ca="1" t="shared" si="13"/>
        <v>#N/A</v>
      </c>
      <c r="AG34" t="e">
        <f ca="1" t="shared" si="13"/>
        <v>#N/A</v>
      </c>
      <c r="AH34" t="e">
        <f ca="1" t="shared" si="13"/>
        <v>#N/A</v>
      </c>
      <c r="AI34" t="e">
        <f ca="1" t="shared" si="13"/>
        <v>#N/A</v>
      </c>
      <c r="AJ34" t="e">
        <f ca="1" t="shared" si="13"/>
        <v>#N/A</v>
      </c>
      <c r="AK34" s="15"/>
      <c r="AL34" s="9"/>
      <c r="AM34" t="e">
        <f ca="1" t="shared" si="14"/>
        <v>#N/A</v>
      </c>
      <c r="AN34" t="e">
        <f ca="1" t="shared" si="14"/>
        <v>#N/A</v>
      </c>
      <c r="AO34" t="e">
        <f ca="1" t="shared" si="14"/>
        <v>#N/A</v>
      </c>
      <c r="AP34" t="e">
        <f ca="1" t="shared" si="14"/>
        <v>#N/A</v>
      </c>
      <c r="AQ34" t="e">
        <f ca="1" t="shared" si="14"/>
        <v>#N/A</v>
      </c>
      <c r="AR34" t="e">
        <f ca="1" t="shared" si="14"/>
        <v>#N/A</v>
      </c>
      <c r="AS34" t="e">
        <f ca="1" t="shared" si="14"/>
        <v>#N/A</v>
      </c>
      <c r="AT34" s="15"/>
      <c r="AU34" s="18"/>
    </row>
    <row r="35" customHeight="1" spans="1:47">
      <c r="A35" s="11" t="s">
        <v>45</v>
      </c>
      <c r="B35" s="9"/>
      <c r="C35" s="12" t="s">
        <v>2</v>
      </c>
      <c r="D35" s="12" t="s">
        <v>2</v>
      </c>
      <c r="E35" s="12" t="e">
        <f ca="1" t="shared" si="10"/>
        <v>#N/A</v>
      </c>
      <c r="F35" s="12" t="e">
        <f ca="1" t="shared" si="10"/>
        <v>#N/A</v>
      </c>
      <c r="G35" s="12" t="e">
        <f ca="1" t="shared" si="10"/>
        <v>#N/A</v>
      </c>
      <c r="H35" s="12" t="e">
        <f ca="1" t="shared" si="10"/>
        <v>#N/A</v>
      </c>
      <c r="I35" s="12" t="e">
        <f ca="1" t="shared" si="10"/>
        <v>#N/A</v>
      </c>
      <c r="J35" s="15"/>
      <c r="K35" s="9"/>
      <c r="L35" s="12" t="e">
        <f ca="1" t="shared" si="11"/>
        <v>#N/A</v>
      </c>
      <c r="M35" s="12" t="e">
        <f ca="1" t="shared" si="11"/>
        <v>#N/A</v>
      </c>
      <c r="N35" s="12" t="e">
        <f ca="1" t="shared" si="11"/>
        <v>#N/A</v>
      </c>
      <c r="O35" s="12" t="e">
        <f ca="1" t="shared" si="11"/>
        <v>#N/A</v>
      </c>
      <c r="P35" s="12" t="e">
        <f ca="1" t="shared" si="11"/>
        <v>#N/A</v>
      </c>
      <c r="Q35" s="12" t="e">
        <f ca="1" t="shared" si="11"/>
        <v>#N/A</v>
      </c>
      <c r="R35" s="12" t="e">
        <f ca="1" t="shared" si="11"/>
        <v>#N/A</v>
      </c>
      <c r="S35" s="15"/>
      <c r="T35" s="9"/>
      <c r="U35" t="e">
        <f ca="1" t="shared" si="12"/>
        <v>#N/A</v>
      </c>
      <c r="V35" t="e">
        <f ca="1" t="shared" si="12"/>
        <v>#N/A</v>
      </c>
      <c r="W35" t="e">
        <f ca="1" t="shared" si="12"/>
        <v>#N/A</v>
      </c>
      <c r="X35" t="e">
        <f ca="1" t="shared" si="12"/>
        <v>#N/A</v>
      </c>
      <c r="Y35" t="e">
        <f ca="1" t="shared" si="12"/>
        <v>#N/A</v>
      </c>
      <c r="Z35" t="e">
        <f ca="1" t="shared" si="12"/>
        <v>#N/A</v>
      </c>
      <c r="AA35" t="e">
        <f ca="1" t="shared" si="12"/>
        <v>#N/A</v>
      </c>
      <c r="AB35" s="15"/>
      <c r="AC35" s="9"/>
      <c r="AD35" t="e">
        <f ca="1" t="shared" si="13"/>
        <v>#N/A</v>
      </c>
      <c r="AE35" t="e">
        <f ca="1" t="shared" si="13"/>
        <v>#N/A</v>
      </c>
      <c r="AF35" t="e">
        <f ca="1" t="shared" si="13"/>
        <v>#N/A</v>
      </c>
      <c r="AG35" t="e">
        <f ca="1" t="shared" si="13"/>
        <v>#N/A</v>
      </c>
      <c r="AH35" t="e">
        <f ca="1" t="shared" si="13"/>
        <v>#N/A</v>
      </c>
      <c r="AI35" t="e">
        <f ca="1" t="shared" si="13"/>
        <v>#N/A</v>
      </c>
      <c r="AJ35" t="e">
        <f ca="1" t="shared" si="13"/>
        <v>#N/A</v>
      </c>
      <c r="AK35" s="15"/>
      <c r="AL35" s="9"/>
      <c r="AM35" t="e">
        <f ca="1" t="shared" si="14"/>
        <v>#N/A</v>
      </c>
      <c r="AN35" t="e">
        <f ca="1" t="shared" si="14"/>
        <v>#N/A</v>
      </c>
      <c r="AO35" t="e">
        <f ca="1" t="shared" si="14"/>
        <v>#N/A</v>
      </c>
      <c r="AP35" t="e">
        <f ca="1" t="shared" si="14"/>
        <v>#N/A</v>
      </c>
      <c r="AQ35" t="e">
        <f ca="1" t="shared" si="14"/>
        <v>#N/A</v>
      </c>
      <c r="AR35" t="e">
        <f ca="1" t="shared" si="14"/>
        <v>#N/A</v>
      </c>
      <c r="AS35" t="e">
        <f ca="1" t="shared" si="14"/>
        <v>#N/A</v>
      </c>
      <c r="AT35" s="15"/>
      <c r="AU35" s="18"/>
    </row>
    <row r="36" customHeight="1" spans="1:47">
      <c r="A36" s="11" t="s">
        <v>46</v>
      </c>
      <c r="B36" s="9"/>
      <c r="C36" s="12" t="s">
        <v>2</v>
      </c>
      <c r="D36" s="12" t="s">
        <v>2</v>
      </c>
      <c r="E36" s="12" t="e">
        <f ca="1" t="shared" si="10"/>
        <v>#N/A</v>
      </c>
      <c r="F36" s="12" t="e">
        <f ca="1" t="shared" si="10"/>
        <v>#N/A</v>
      </c>
      <c r="G36" s="12" t="e">
        <f ca="1" t="shared" si="10"/>
        <v>#N/A</v>
      </c>
      <c r="H36" s="12" t="e">
        <f ca="1" t="shared" si="10"/>
        <v>#N/A</v>
      </c>
      <c r="I36" s="12" t="e">
        <f ca="1" t="shared" si="10"/>
        <v>#N/A</v>
      </c>
      <c r="J36" s="15"/>
      <c r="K36" s="9"/>
      <c r="L36" s="12" t="e">
        <f ca="1" t="shared" si="11"/>
        <v>#N/A</v>
      </c>
      <c r="M36" s="12" t="e">
        <f ca="1" t="shared" si="11"/>
        <v>#N/A</v>
      </c>
      <c r="N36" s="12" t="e">
        <f ca="1" t="shared" si="11"/>
        <v>#N/A</v>
      </c>
      <c r="O36" s="12" t="e">
        <f ca="1" t="shared" si="11"/>
        <v>#N/A</v>
      </c>
      <c r="P36" s="12" t="e">
        <f ca="1" t="shared" si="11"/>
        <v>#N/A</v>
      </c>
      <c r="Q36" s="12" t="e">
        <f ca="1" t="shared" si="11"/>
        <v>#N/A</v>
      </c>
      <c r="R36" s="12" t="e">
        <f ca="1" t="shared" si="11"/>
        <v>#N/A</v>
      </c>
      <c r="S36" s="15"/>
      <c r="T36" s="9"/>
      <c r="U36" t="e">
        <f ca="1" t="shared" si="12"/>
        <v>#N/A</v>
      </c>
      <c r="V36" t="e">
        <f ca="1" t="shared" si="12"/>
        <v>#N/A</v>
      </c>
      <c r="W36" t="e">
        <f ca="1" t="shared" si="12"/>
        <v>#N/A</v>
      </c>
      <c r="X36" t="e">
        <f ca="1" t="shared" si="12"/>
        <v>#N/A</v>
      </c>
      <c r="Y36" t="e">
        <f ca="1" t="shared" si="12"/>
        <v>#N/A</v>
      </c>
      <c r="Z36" t="e">
        <f ca="1" t="shared" si="12"/>
        <v>#N/A</v>
      </c>
      <c r="AA36" t="e">
        <f ca="1" t="shared" si="12"/>
        <v>#N/A</v>
      </c>
      <c r="AB36" s="15"/>
      <c r="AC36" s="9"/>
      <c r="AD36" t="e">
        <f ca="1" t="shared" si="13"/>
        <v>#N/A</v>
      </c>
      <c r="AE36" t="e">
        <f ca="1" t="shared" si="13"/>
        <v>#N/A</v>
      </c>
      <c r="AF36" t="e">
        <f ca="1" t="shared" si="13"/>
        <v>#N/A</v>
      </c>
      <c r="AG36" t="e">
        <f ca="1" t="shared" si="13"/>
        <v>#N/A</v>
      </c>
      <c r="AH36" t="e">
        <f ca="1" t="shared" si="13"/>
        <v>#N/A</v>
      </c>
      <c r="AI36" t="e">
        <f ca="1" t="shared" si="13"/>
        <v>#N/A</v>
      </c>
      <c r="AJ36" t="e">
        <f ca="1" t="shared" si="13"/>
        <v>#N/A</v>
      </c>
      <c r="AK36" s="15"/>
      <c r="AL36" s="9"/>
      <c r="AM36" t="e">
        <f ca="1" t="shared" si="14"/>
        <v>#N/A</v>
      </c>
      <c r="AN36" t="e">
        <f ca="1" t="shared" si="14"/>
        <v>#N/A</v>
      </c>
      <c r="AO36" t="e">
        <f ca="1" t="shared" si="14"/>
        <v>#N/A</v>
      </c>
      <c r="AP36" t="e">
        <f ca="1" t="shared" si="14"/>
        <v>#N/A</v>
      </c>
      <c r="AQ36" t="e">
        <f ca="1" t="shared" si="14"/>
        <v>#N/A</v>
      </c>
      <c r="AR36" t="e">
        <f ca="1" t="shared" si="14"/>
        <v>#N/A</v>
      </c>
      <c r="AS36" t="e">
        <f ca="1" t="shared" si="14"/>
        <v>#N/A</v>
      </c>
      <c r="AT36" s="15"/>
      <c r="AU36" s="18"/>
    </row>
    <row r="37" customHeight="1" spans="1:47">
      <c r="A37" s="11" t="s">
        <v>47</v>
      </c>
      <c r="B37" s="9"/>
      <c r="C37" s="12" t="s">
        <v>4</v>
      </c>
      <c r="D37" s="12" t="s">
        <v>2</v>
      </c>
      <c r="E37" s="12" t="e">
        <f ca="1" t="shared" si="10"/>
        <v>#N/A</v>
      </c>
      <c r="F37" s="12" t="e">
        <f ca="1" t="shared" si="10"/>
        <v>#N/A</v>
      </c>
      <c r="G37" s="12" t="e">
        <f ca="1" t="shared" si="10"/>
        <v>#N/A</v>
      </c>
      <c r="H37" s="12" t="e">
        <f ca="1" t="shared" si="10"/>
        <v>#N/A</v>
      </c>
      <c r="I37" s="12" t="e">
        <f ca="1" t="shared" si="10"/>
        <v>#N/A</v>
      </c>
      <c r="J37" s="13" t="s">
        <v>48</v>
      </c>
      <c r="K37" s="9"/>
      <c r="L37" s="12" t="e">
        <f ca="1" t="shared" si="11"/>
        <v>#N/A</v>
      </c>
      <c r="M37" s="12" t="e">
        <f ca="1" t="shared" si="11"/>
        <v>#N/A</v>
      </c>
      <c r="N37" s="12" t="e">
        <f ca="1" t="shared" si="11"/>
        <v>#N/A</v>
      </c>
      <c r="O37" s="12" t="e">
        <f ca="1" t="shared" si="11"/>
        <v>#N/A</v>
      </c>
      <c r="P37" s="12" t="e">
        <f ca="1" t="shared" si="11"/>
        <v>#N/A</v>
      </c>
      <c r="Q37" s="12" t="e">
        <f ca="1" t="shared" si="11"/>
        <v>#N/A</v>
      </c>
      <c r="R37" s="12" t="e">
        <f ca="1" t="shared" si="11"/>
        <v>#N/A</v>
      </c>
      <c r="S37" s="13" t="s">
        <v>48</v>
      </c>
      <c r="T37" s="9"/>
      <c r="U37" t="e">
        <f ca="1" t="shared" si="12"/>
        <v>#N/A</v>
      </c>
      <c r="V37" t="e">
        <f ca="1" t="shared" si="12"/>
        <v>#N/A</v>
      </c>
      <c r="W37" t="e">
        <f ca="1" t="shared" si="12"/>
        <v>#N/A</v>
      </c>
      <c r="X37" t="e">
        <f ca="1" t="shared" si="12"/>
        <v>#N/A</v>
      </c>
      <c r="Y37" t="e">
        <f ca="1" t="shared" si="12"/>
        <v>#N/A</v>
      </c>
      <c r="Z37" t="e">
        <f ca="1" t="shared" si="12"/>
        <v>#N/A</v>
      </c>
      <c r="AA37" t="e">
        <f ca="1" t="shared" si="12"/>
        <v>#N/A</v>
      </c>
      <c r="AB37" s="13" t="s">
        <v>48</v>
      </c>
      <c r="AC37" s="9"/>
      <c r="AD37" t="e">
        <f ca="1" t="shared" si="13"/>
        <v>#N/A</v>
      </c>
      <c r="AE37" t="e">
        <f ca="1" t="shared" si="13"/>
        <v>#N/A</v>
      </c>
      <c r="AF37" t="e">
        <f ca="1" t="shared" si="13"/>
        <v>#N/A</v>
      </c>
      <c r="AG37" t="e">
        <f ca="1" t="shared" si="13"/>
        <v>#N/A</v>
      </c>
      <c r="AH37" t="e">
        <f ca="1" t="shared" si="13"/>
        <v>#N/A</v>
      </c>
      <c r="AI37" t="e">
        <f ca="1" t="shared" si="13"/>
        <v>#N/A</v>
      </c>
      <c r="AJ37" t="e">
        <f ca="1" t="shared" si="13"/>
        <v>#N/A</v>
      </c>
      <c r="AK37" s="13" t="s">
        <v>48</v>
      </c>
      <c r="AL37" s="9"/>
      <c r="AM37" t="e">
        <f ca="1" t="shared" si="14"/>
        <v>#N/A</v>
      </c>
      <c r="AN37" t="e">
        <f ca="1" t="shared" si="14"/>
        <v>#N/A</v>
      </c>
      <c r="AO37" t="e">
        <f ca="1" t="shared" si="14"/>
        <v>#N/A</v>
      </c>
      <c r="AP37" t="e">
        <f ca="1" t="shared" si="14"/>
        <v>#N/A</v>
      </c>
      <c r="AQ37" t="e">
        <f ca="1" t="shared" si="14"/>
        <v>#N/A</v>
      </c>
      <c r="AR37" t="e">
        <f ca="1" t="shared" si="14"/>
        <v>#N/A</v>
      </c>
      <c r="AS37" t="e">
        <f ca="1" t="shared" si="14"/>
        <v>#N/A</v>
      </c>
      <c r="AT37" s="13" t="s">
        <v>48</v>
      </c>
      <c r="AU37" s="18"/>
    </row>
    <row r="38" customHeight="1" spans="1:47">
      <c r="A38" s="11" t="s">
        <v>49</v>
      </c>
      <c r="B38" s="9"/>
      <c r="C38" s="12" t="s">
        <v>0</v>
      </c>
      <c r="D38" s="12" t="s">
        <v>2</v>
      </c>
      <c r="E38" s="12" t="e">
        <f ca="1" t="shared" si="10"/>
        <v>#N/A</v>
      </c>
      <c r="F38" s="12" t="e">
        <f ca="1" t="shared" si="10"/>
        <v>#N/A</v>
      </c>
      <c r="G38" s="12" t="e">
        <f ca="1" t="shared" si="10"/>
        <v>#N/A</v>
      </c>
      <c r="H38" s="12" t="e">
        <f ca="1" t="shared" si="10"/>
        <v>#N/A</v>
      </c>
      <c r="I38" s="12" t="e">
        <f ca="1" t="shared" si="10"/>
        <v>#N/A</v>
      </c>
      <c r="J38" s="17"/>
      <c r="K38" s="9"/>
      <c r="L38" s="12" t="e">
        <f ca="1" t="shared" si="11"/>
        <v>#N/A</v>
      </c>
      <c r="M38" s="12" t="e">
        <f ca="1" t="shared" si="11"/>
        <v>#N/A</v>
      </c>
      <c r="N38" s="12" t="e">
        <f ca="1" t="shared" si="11"/>
        <v>#N/A</v>
      </c>
      <c r="O38" s="12" t="e">
        <f ca="1" t="shared" si="11"/>
        <v>#N/A</v>
      </c>
      <c r="P38" s="12" t="e">
        <f ca="1" t="shared" si="11"/>
        <v>#N/A</v>
      </c>
      <c r="Q38" s="12" t="e">
        <f ca="1" t="shared" si="11"/>
        <v>#N/A</v>
      </c>
      <c r="R38" s="12" t="e">
        <f ca="1" t="shared" si="11"/>
        <v>#N/A</v>
      </c>
      <c r="S38" s="17"/>
      <c r="T38" s="9"/>
      <c r="U38" t="e">
        <f ca="1">AA</f>
        <v>#N/A</v>
      </c>
      <c r="V38" t="e">
        <f ca="1" t="shared" si="12"/>
        <v>#N/A</v>
      </c>
      <c r="W38" t="e">
        <f ca="1" t="shared" si="12"/>
        <v>#N/A</v>
      </c>
      <c r="X38" t="e">
        <f ca="1" t="shared" si="12"/>
        <v>#N/A</v>
      </c>
      <c r="Y38" t="e">
        <f ca="1" t="shared" si="12"/>
        <v>#N/A</v>
      </c>
      <c r="Z38" t="e">
        <f ca="1" t="shared" si="12"/>
        <v>#N/A</v>
      </c>
      <c r="AA38" t="e">
        <f ca="1" t="shared" si="12"/>
        <v>#N/A</v>
      </c>
      <c r="AB38" s="17"/>
      <c r="AC38" s="9"/>
      <c r="AD38" t="e">
        <f ca="1" t="shared" si="13"/>
        <v>#N/A</v>
      </c>
      <c r="AE38" t="e">
        <f ca="1" t="shared" si="13"/>
        <v>#N/A</v>
      </c>
      <c r="AF38" t="e">
        <f ca="1" t="shared" si="13"/>
        <v>#N/A</v>
      </c>
      <c r="AG38" t="e">
        <f ca="1" t="shared" si="13"/>
        <v>#N/A</v>
      </c>
      <c r="AH38" t="e">
        <f ca="1" t="shared" si="13"/>
        <v>#N/A</v>
      </c>
      <c r="AI38" t="e">
        <f ca="1" t="shared" si="13"/>
        <v>#N/A</v>
      </c>
      <c r="AJ38" t="e">
        <f ca="1" t="shared" si="13"/>
        <v>#N/A</v>
      </c>
      <c r="AK38" s="17"/>
      <c r="AL38" s="9"/>
      <c r="AM38" t="e">
        <f ca="1" t="shared" si="14"/>
        <v>#N/A</v>
      </c>
      <c r="AN38" t="e">
        <f ca="1" t="shared" si="14"/>
        <v>#N/A</v>
      </c>
      <c r="AO38" t="e">
        <f ca="1" t="shared" si="14"/>
        <v>#N/A</v>
      </c>
      <c r="AP38" t="e">
        <f ca="1" t="shared" si="14"/>
        <v>#N/A</v>
      </c>
      <c r="AQ38" t="e">
        <f ca="1" t="shared" si="14"/>
        <v>#N/A</v>
      </c>
      <c r="AR38" t="e">
        <f ca="1" t="shared" si="14"/>
        <v>#N/A</v>
      </c>
      <c r="AS38" t="e">
        <f ca="1" t="shared" si="14"/>
        <v>#N/A</v>
      </c>
      <c r="AT38" s="17"/>
      <c r="AU38" s="18"/>
    </row>
    <row r="39" customHeight="1" spans="1:47">
      <c r="A39" s="11" t="s">
        <v>50</v>
      </c>
      <c r="B39" s="9"/>
      <c r="C39" s="12" t="s">
        <v>2</v>
      </c>
      <c r="D39" s="12" t="s">
        <v>4</v>
      </c>
      <c r="E39" s="12" t="e">
        <f ca="1" t="shared" si="10"/>
        <v>#N/A</v>
      </c>
      <c r="F39" s="12" t="e">
        <f ca="1" t="shared" si="10"/>
        <v>#N/A</v>
      </c>
      <c r="G39" s="12" t="e">
        <f ca="1" t="shared" si="10"/>
        <v>#N/A</v>
      </c>
      <c r="H39" s="12" t="e">
        <f ca="1" t="shared" si="10"/>
        <v>#N/A</v>
      </c>
      <c r="I39" s="12" t="e">
        <f ca="1" t="shared" si="10"/>
        <v>#N/A</v>
      </c>
      <c r="J39" s="17"/>
      <c r="K39" s="9"/>
      <c r="L39" s="12" t="e">
        <f ca="1" t="shared" si="11"/>
        <v>#N/A</v>
      </c>
      <c r="M39" s="12" t="e">
        <f ca="1" t="shared" si="11"/>
        <v>#N/A</v>
      </c>
      <c r="N39" s="12" t="e">
        <f ca="1" t="shared" si="11"/>
        <v>#N/A</v>
      </c>
      <c r="O39" s="12" t="e">
        <f ca="1" t="shared" si="11"/>
        <v>#N/A</v>
      </c>
      <c r="P39" s="12" t="e">
        <f ca="1" t="shared" si="11"/>
        <v>#N/A</v>
      </c>
      <c r="Q39" s="12" t="e">
        <f ca="1" t="shared" si="11"/>
        <v>#N/A</v>
      </c>
      <c r="R39" s="12" t="e">
        <f ca="1" t="shared" si="11"/>
        <v>#N/A</v>
      </c>
      <c r="S39" s="17"/>
      <c r="T39" s="9"/>
      <c r="U39" t="e">
        <f ca="1">AA</f>
        <v>#N/A</v>
      </c>
      <c r="V39" t="e">
        <f ca="1" t="shared" si="12"/>
        <v>#N/A</v>
      </c>
      <c r="W39" t="e">
        <f ca="1" t="shared" si="12"/>
        <v>#N/A</v>
      </c>
      <c r="X39" t="e">
        <f ca="1" t="shared" si="12"/>
        <v>#N/A</v>
      </c>
      <c r="Y39" t="e">
        <f ca="1" t="shared" si="12"/>
        <v>#N/A</v>
      </c>
      <c r="Z39" t="e">
        <f ca="1" t="shared" si="12"/>
        <v>#N/A</v>
      </c>
      <c r="AA39" t="e">
        <f ca="1" t="shared" si="12"/>
        <v>#N/A</v>
      </c>
      <c r="AB39" s="17"/>
      <c r="AC39" s="9"/>
      <c r="AD39" t="e">
        <f ca="1" t="shared" si="13"/>
        <v>#N/A</v>
      </c>
      <c r="AE39" t="e">
        <f ca="1" t="shared" si="13"/>
        <v>#N/A</v>
      </c>
      <c r="AF39" t="e">
        <f ca="1" t="shared" si="13"/>
        <v>#N/A</v>
      </c>
      <c r="AG39" t="e">
        <f ca="1" t="shared" si="13"/>
        <v>#N/A</v>
      </c>
      <c r="AH39" t="e">
        <f ca="1" t="shared" si="13"/>
        <v>#N/A</v>
      </c>
      <c r="AI39" t="e">
        <f ca="1" t="shared" si="13"/>
        <v>#N/A</v>
      </c>
      <c r="AJ39" t="e">
        <f ca="1" t="shared" si="13"/>
        <v>#N/A</v>
      </c>
      <c r="AK39" s="17"/>
      <c r="AL39" s="9"/>
      <c r="AM39" t="e">
        <f ca="1" t="shared" si="14"/>
        <v>#N/A</v>
      </c>
      <c r="AN39" t="e">
        <f ca="1" t="shared" si="14"/>
        <v>#N/A</v>
      </c>
      <c r="AO39" t="e">
        <f ca="1" t="shared" si="14"/>
        <v>#N/A</v>
      </c>
      <c r="AP39" t="e">
        <f ca="1" t="shared" si="14"/>
        <v>#N/A</v>
      </c>
      <c r="AQ39" t="e">
        <f ca="1" t="shared" si="14"/>
        <v>#N/A</v>
      </c>
      <c r="AR39" t="e">
        <f ca="1" t="shared" si="14"/>
        <v>#N/A</v>
      </c>
      <c r="AS39" t="e">
        <f ca="1" t="shared" si="14"/>
        <v>#N/A</v>
      </c>
      <c r="AT39" s="17"/>
      <c r="AU39" s="18"/>
    </row>
    <row r="40" customHeight="1" spans="1:47">
      <c r="A40" s="11" t="s">
        <v>51</v>
      </c>
      <c r="B40" s="9"/>
      <c r="C40" s="12" t="s">
        <v>2</v>
      </c>
      <c r="D40" s="12" t="s">
        <v>4</v>
      </c>
      <c r="E40" s="12" t="e">
        <f ca="1" t="shared" si="10"/>
        <v>#N/A</v>
      </c>
      <c r="F40" s="12" t="e">
        <f ca="1" t="shared" si="10"/>
        <v>#N/A</v>
      </c>
      <c r="G40" s="12" t="e">
        <f ca="1" t="shared" si="10"/>
        <v>#N/A</v>
      </c>
      <c r="H40" s="12" t="e">
        <f ca="1" t="shared" si="10"/>
        <v>#N/A</v>
      </c>
      <c r="I40" s="12" t="e">
        <f ca="1" t="shared" si="10"/>
        <v>#N/A</v>
      </c>
      <c r="J40" s="17"/>
      <c r="K40" s="9"/>
      <c r="L40" s="12" t="e">
        <f ca="1" t="shared" si="11"/>
        <v>#N/A</v>
      </c>
      <c r="M40" s="12" t="e">
        <f ca="1" t="shared" si="11"/>
        <v>#N/A</v>
      </c>
      <c r="N40" s="12" t="e">
        <f ca="1" t="shared" si="11"/>
        <v>#N/A</v>
      </c>
      <c r="O40" s="12" t="e">
        <f ca="1" t="shared" si="11"/>
        <v>#N/A</v>
      </c>
      <c r="P40" s="12" t="e">
        <f ca="1" t="shared" si="11"/>
        <v>#N/A</v>
      </c>
      <c r="Q40" s="12" t="e">
        <f ca="1" t="shared" si="11"/>
        <v>#N/A</v>
      </c>
      <c r="R40" s="12" t="e">
        <f ca="1" t="shared" si="11"/>
        <v>#N/A</v>
      </c>
      <c r="S40" s="17"/>
      <c r="T40" s="9"/>
      <c r="U40" t="e">
        <f ca="1" t="shared" si="12"/>
        <v>#N/A</v>
      </c>
      <c r="V40" t="e">
        <f ca="1" t="shared" si="12"/>
        <v>#N/A</v>
      </c>
      <c r="W40" t="e">
        <f ca="1" t="shared" si="12"/>
        <v>#N/A</v>
      </c>
      <c r="X40" t="e">
        <f ca="1" t="shared" si="12"/>
        <v>#N/A</v>
      </c>
      <c r="Y40" t="e">
        <f ca="1" t="shared" si="12"/>
        <v>#N/A</v>
      </c>
      <c r="Z40" t="e">
        <f ca="1" t="shared" si="12"/>
        <v>#N/A</v>
      </c>
      <c r="AA40" t="e">
        <f ca="1" t="shared" si="12"/>
        <v>#N/A</v>
      </c>
      <c r="AB40" s="17"/>
      <c r="AC40" s="9"/>
      <c r="AD40" t="e">
        <f ca="1" t="shared" si="13"/>
        <v>#N/A</v>
      </c>
      <c r="AE40" t="e">
        <f ca="1" t="shared" si="13"/>
        <v>#N/A</v>
      </c>
      <c r="AF40" t="e">
        <f ca="1" t="shared" si="13"/>
        <v>#N/A</v>
      </c>
      <c r="AG40" t="e">
        <f ca="1" t="shared" si="13"/>
        <v>#N/A</v>
      </c>
      <c r="AH40" t="e">
        <f ca="1" t="shared" si="13"/>
        <v>#N/A</v>
      </c>
      <c r="AI40" t="e">
        <f ca="1" t="shared" si="13"/>
        <v>#N/A</v>
      </c>
      <c r="AJ40" t="e">
        <f ca="1" t="shared" si="13"/>
        <v>#N/A</v>
      </c>
      <c r="AK40" s="17"/>
      <c r="AL40" s="9"/>
      <c r="AM40" t="e">
        <f ca="1" t="shared" si="14"/>
        <v>#N/A</v>
      </c>
      <c r="AN40" t="e">
        <f ca="1" t="shared" si="14"/>
        <v>#N/A</v>
      </c>
      <c r="AO40" t="e">
        <f ca="1" t="shared" si="14"/>
        <v>#N/A</v>
      </c>
      <c r="AP40" t="e">
        <f ca="1" t="shared" si="14"/>
        <v>#N/A</v>
      </c>
      <c r="AQ40" t="e">
        <f ca="1" t="shared" si="14"/>
        <v>#N/A</v>
      </c>
      <c r="AR40" t="e">
        <f ca="1" t="shared" si="14"/>
        <v>#N/A</v>
      </c>
      <c r="AS40" t="e">
        <f ca="1" t="shared" si="14"/>
        <v>#N/A</v>
      </c>
      <c r="AT40" s="17"/>
      <c r="AU40" s="18"/>
    </row>
    <row r="41" customHeight="1" spans="1:47">
      <c r="A41" s="3" t="s">
        <v>0</v>
      </c>
      <c r="B41" s="9"/>
      <c r="C41">
        <f ca="1">COUNTIF(C$7:C$40,"=拖延")</f>
        <v>10</v>
      </c>
      <c r="D41">
        <f ca="1" t="shared" ref="D41:I41" si="15">COUNTIF(D$7:D$40,"=拖延")</f>
        <v>6</v>
      </c>
      <c r="E41">
        <f ca="1" t="shared" si="15"/>
        <v>0</v>
      </c>
      <c r="F41">
        <f ca="1" t="shared" si="15"/>
        <v>0</v>
      </c>
      <c r="G41">
        <f ca="1" t="shared" si="15"/>
        <v>0</v>
      </c>
      <c r="H41">
        <f ca="1" t="shared" si="15"/>
        <v>0</v>
      </c>
      <c r="I41">
        <f ca="1" t="shared" si="15"/>
        <v>0</v>
      </c>
      <c r="J41">
        <f ca="1">SUM(C41:I41)</f>
        <v>16</v>
      </c>
      <c r="K41" s="9"/>
      <c r="L41">
        <f ca="1" t="shared" ref="L41:R41" si="16">COUNTIF(L$7:L$40,"=拖延")</f>
        <v>0</v>
      </c>
      <c r="M41">
        <f ca="1" t="shared" si="16"/>
        <v>0</v>
      </c>
      <c r="N41">
        <f ca="1" t="shared" si="16"/>
        <v>0</v>
      </c>
      <c r="O41">
        <f ca="1" t="shared" si="16"/>
        <v>0</v>
      </c>
      <c r="P41">
        <f ca="1" t="shared" si="16"/>
        <v>0</v>
      </c>
      <c r="R41">
        <f ca="1" t="shared" si="16"/>
        <v>0</v>
      </c>
      <c r="S41">
        <f ca="1">SUM(K41:R41)</f>
        <v>0</v>
      </c>
      <c r="T41" s="9"/>
      <c r="U41">
        <f ca="1" t="shared" ref="U41:AA41" si="17">COUNTIF(U$7:U$40,"=拖延")</f>
        <v>0</v>
      </c>
      <c r="V41">
        <f ca="1" t="shared" si="17"/>
        <v>0</v>
      </c>
      <c r="W41">
        <f ca="1" t="shared" si="17"/>
        <v>0</v>
      </c>
      <c r="X41">
        <f ca="1" t="shared" si="17"/>
        <v>0</v>
      </c>
      <c r="Y41">
        <f ca="1" t="shared" si="17"/>
        <v>0</v>
      </c>
      <c r="AA41">
        <f ca="1" t="shared" si="17"/>
        <v>0</v>
      </c>
      <c r="AB41">
        <f ca="1">SUM(T41:AA41)</f>
        <v>0</v>
      </c>
      <c r="AC41" s="9"/>
      <c r="AD41">
        <f ca="1" t="shared" ref="AD41:AJ41" si="18">COUNTIF(AD$7:AD$40,"=拖延")</f>
        <v>0</v>
      </c>
      <c r="AE41">
        <f ca="1" t="shared" si="18"/>
        <v>0</v>
      </c>
      <c r="AF41">
        <f ca="1" t="shared" si="18"/>
        <v>0</v>
      </c>
      <c r="AG41">
        <f ca="1" t="shared" si="18"/>
        <v>0</v>
      </c>
      <c r="AH41">
        <f ca="1" t="shared" si="18"/>
        <v>0</v>
      </c>
      <c r="AJ41">
        <f ca="1" t="shared" si="18"/>
        <v>0</v>
      </c>
      <c r="AK41">
        <f ca="1">SUM(AC41:AJ41)</f>
        <v>0</v>
      </c>
      <c r="AL41" s="9"/>
      <c r="AM41">
        <f ca="1" t="shared" ref="AM41:AS41" si="19">COUNTIF(AM$7:AM$40,"=拖延")</f>
        <v>0</v>
      </c>
      <c r="AN41">
        <f ca="1" t="shared" si="19"/>
        <v>0</v>
      </c>
      <c r="AO41">
        <f ca="1" t="shared" si="19"/>
        <v>0</v>
      </c>
      <c r="AP41">
        <f ca="1" t="shared" si="19"/>
        <v>0</v>
      </c>
      <c r="AQ41">
        <f ca="1" t="shared" si="19"/>
        <v>0</v>
      </c>
      <c r="AS41">
        <f ca="1" t="shared" si="19"/>
        <v>0</v>
      </c>
      <c r="AT41">
        <f ca="1">SUM(AL41:AS41)</f>
        <v>0</v>
      </c>
      <c r="AU41">
        <f ca="1">SUM(J41,S41,AB41,AK41,AT41)</f>
        <v>16</v>
      </c>
    </row>
    <row r="42" customHeight="1" spans="1:47">
      <c r="A42" s="4" t="s">
        <v>1</v>
      </c>
      <c r="B42" s="9"/>
      <c r="C42">
        <f ca="1">COUNTIF(C$7:C$40,"=强迫")</f>
        <v>6</v>
      </c>
      <c r="D42">
        <f ca="1" t="shared" ref="D42:I42" si="20">COUNTIF(D$7:D$40,"=强迫")</f>
        <v>8</v>
      </c>
      <c r="E42">
        <f ca="1" t="shared" si="20"/>
        <v>0</v>
      </c>
      <c r="F42">
        <f ca="1" t="shared" si="20"/>
        <v>0</v>
      </c>
      <c r="G42">
        <f ca="1" t="shared" si="20"/>
        <v>0</v>
      </c>
      <c r="H42">
        <f ca="1" t="shared" si="20"/>
        <v>0</v>
      </c>
      <c r="I42">
        <f ca="1" t="shared" si="20"/>
        <v>0</v>
      </c>
      <c r="J42">
        <f ca="1" t="shared" ref="J42:J45" si="21">SUM(C42:I42)</f>
        <v>14</v>
      </c>
      <c r="K42" s="9"/>
      <c r="L42">
        <f ca="1" t="shared" ref="L42:R42" si="22">COUNTIF(L$7:L$40,"=强迫")</f>
        <v>0</v>
      </c>
      <c r="M42">
        <f ca="1" t="shared" si="22"/>
        <v>0</v>
      </c>
      <c r="N42">
        <f ca="1" t="shared" si="22"/>
        <v>0</v>
      </c>
      <c r="O42">
        <f ca="1" t="shared" si="22"/>
        <v>0</v>
      </c>
      <c r="P42">
        <f ca="1" t="shared" si="22"/>
        <v>0</v>
      </c>
      <c r="R42">
        <f ca="1" t="shared" si="22"/>
        <v>0</v>
      </c>
      <c r="S42">
        <f ca="1" t="shared" ref="S42:S45" si="23">SUM(K42:R42)</f>
        <v>0</v>
      </c>
      <c r="T42" s="9"/>
      <c r="U42">
        <f ca="1" t="shared" ref="U42:AA42" si="24">COUNTIF(U$7:U$40,"=强迫")</f>
        <v>0</v>
      </c>
      <c r="V42">
        <f ca="1" t="shared" si="24"/>
        <v>0</v>
      </c>
      <c r="W42">
        <f ca="1" t="shared" si="24"/>
        <v>0</v>
      </c>
      <c r="X42">
        <f ca="1" t="shared" si="24"/>
        <v>0</v>
      </c>
      <c r="Y42">
        <f ca="1" t="shared" si="24"/>
        <v>0</v>
      </c>
      <c r="AA42">
        <f ca="1" t="shared" si="24"/>
        <v>0</v>
      </c>
      <c r="AB42">
        <f ca="1" t="shared" ref="AB42:AB45" si="25">SUM(T42:AA42)</f>
        <v>0</v>
      </c>
      <c r="AC42" s="9"/>
      <c r="AD42">
        <f ca="1" t="shared" ref="AD42:AJ42" si="26">COUNTIF(AD$7:AD$40,"=强迫")</f>
        <v>0</v>
      </c>
      <c r="AE42">
        <f ca="1" t="shared" si="26"/>
        <v>0</v>
      </c>
      <c r="AF42">
        <f ca="1" t="shared" si="26"/>
        <v>0</v>
      </c>
      <c r="AG42">
        <f ca="1" t="shared" si="26"/>
        <v>0</v>
      </c>
      <c r="AH42">
        <f ca="1" t="shared" si="26"/>
        <v>0</v>
      </c>
      <c r="AJ42">
        <f ca="1" t="shared" si="26"/>
        <v>0</v>
      </c>
      <c r="AK42">
        <f ca="1" t="shared" ref="AK42:AK45" si="27">SUM(AC42:AJ42)</f>
        <v>0</v>
      </c>
      <c r="AL42" s="9"/>
      <c r="AM42">
        <f ca="1" t="shared" ref="AM42:AS42" si="28">COUNTIF(AM$7:AM$40,"=强迫")</f>
        <v>0</v>
      </c>
      <c r="AN42">
        <f ca="1" t="shared" si="28"/>
        <v>0</v>
      </c>
      <c r="AO42">
        <f ca="1" t="shared" si="28"/>
        <v>0</v>
      </c>
      <c r="AP42">
        <f ca="1" t="shared" si="28"/>
        <v>0</v>
      </c>
      <c r="AQ42">
        <f ca="1" t="shared" si="28"/>
        <v>0</v>
      </c>
      <c r="AS42">
        <f ca="1" t="shared" si="28"/>
        <v>0</v>
      </c>
      <c r="AT42">
        <f ca="1" t="shared" ref="AT42:AT45" si="29">SUM(AL42:AS42)</f>
        <v>0</v>
      </c>
      <c r="AU42">
        <f ca="1" t="shared" ref="AU42:AU45" si="30">SUM(J42,S42,AB42,AK42,AT42)</f>
        <v>14</v>
      </c>
    </row>
    <row r="43" customHeight="1" spans="1:47">
      <c r="A43" s="5" t="s">
        <v>2</v>
      </c>
      <c r="B43" s="9"/>
      <c r="C43">
        <f ca="1">COUNTIF(C$7:C$40,"=高效")</f>
        <v>13</v>
      </c>
      <c r="D43">
        <f ca="1" t="shared" ref="D43:I43" si="31">COUNTIF(D$7:D$40,"=高效")</f>
        <v>16</v>
      </c>
      <c r="E43">
        <f ca="1" t="shared" si="31"/>
        <v>0</v>
      </c>
      <c r="F43">
        <f ca="1" t="shared" si="31"/>
        <v>0</v>
      </c>
      <c r="G43">
        <f ca="1" t="shared" si="31"/>
        <v>0</v>
      </c>
      <c r="H43">
        <f ca="1" t="shared" si="31"/>
        <v>0</v>
      </c>
      <c r="I43">
        <f ca="1" t="shared" si="31"/>
        <v>0</v>
      </c>
      <c r="J43">
        <f ca="1" t="shared" si="21"/>
        <v>29</v>
      </c>
      <c r="K43" s="9"/>
      <c r="L43">
        <f ca="1" t="shared" ref="L43:R43" si="32">COUNTIF(L$7:L$40,"=高效")</f>
        <v>0</v>
      </c>
      <c r="M43">
        <f ca="1" t="shared" si="32"/>
        <v>0</v>
      </c>
      <c r="N43">
        <f ca="1" t="shared" si="32"/>
        <v>0</v>
      </c>
      <c r="O43">
        <f ca="1" t="shared" si="32"/>
        <v>0</v>
      </c>
      <c r="P43">
        <f ca="1" t="shared" si="32"/>
        <v>0</v>
      </c>
      <c r="R43">
        <f ca="1" t="shared" si="32"/>
        <v>0</v>
      </c>
      <c r="S43">
        <f ca="1" t="shared" si="23"/>
        <v>0</v>
      </c>
      <c r="T43" s="9"/>
      <c r="U43">
        <f ca="1" t="shared" ref="U43:AA43" si="33">COUNTIF(U$7:U$40,"=高效")</f>
        <v>0</v>
      </c>
      <c r="V43">
        <f ca="1" t="shared" si="33"/>
        <v>0</v>
      </c>
      <c r="W43">
        <f ca="1" t="shared" si="33"/>
        <v>0</v>
      </c>
      <c r="X43">
        <f ca="1" t="shared" si="33"/>
        <v>0</v>
      </c>
      <c r="Y43">
        <f ca="1" t="shared" si="33"/>
        <v>0</v>
      </c>
      <c r="AA43">
        <f ca="1" t="shared" si="33"/>
        <v>0</v>
      </c>
      <c r="AB43">
        <f ca="1" t="shared" si="25"/>
        <v>0</v>
      </c>
      <c r="AC43" s="9"/>
      <c r="AD43">
        <f ca="1" t="shared" ref="AD43:AJ43" si="34">COUNTIF(AD$7:AD$40,"=高效")</f>
        <v>0</v>
      </c>
      <c r="AE43">
        <f ca="1" t="shared" si="34"/>
        <v>0</v>
      </c>
      <c r="AF43">
        <f ca="1" t="shared" si="34"/>
        <v>0</v>
      </c>
      <c r="AG43">
        <f ca="1" t="shared" si="34"/>
        <v>0</v>
      </c>
      <c r="AH43">
        <f ca="1" t="shared" si="34"/>
        <v>0</v>
      </c>
      <c r="AJ43">
        <f ca="1" t="shared" si="34"/>
        <v>0</v>
      </c>
      <c r="AK43">
        <f ca="1" t="shared" si="27"/>
        <v>0</v>
      </c>
      <c r="AL43" s="9"/>
      <c r="AM43">
        <f ca="1" t="shared" ref="AM43:AS43" si="35">COUNTIF(AM$7:AM$40,"=高效")</f>
        <v>0</v>
      </c>
      <c r="AN43">
        <f ca="1" t="shared" si="35"/>
        <v>0</v>
      </c>
      <c r="AO43">
        <f ca="1" t="shared" si="35"/>
        <v>0</v>
      </c>
      <c r="AP43">
        <f ca="1" t="shared" si="35"/>
        <v>0</v>
      </c>
      <c r="AQ43">
        <f ca="1" t="shared" si="35"/>
        <v>0</v>
      </c>
      <c r="AS43">
        <f ca="1" t="shared" si="35"/>
        <v>0</v>
      </c>
      <c r="AT43">
        <f ca="1" t="shared" si="29"/>
        <v>0</v>
      </c>
      <c r="AU43">
        <f ca="1" t="shared" si="30"/>
        <v>29</v>
      </c>
    </row>
    <row r="44" customHeight="1" spans="1:47">
      <c r="A44" s="6" t="s">
        <v>3</v>
      </c>
      <c r="B44" s="9"/>
      <c r="C44">
        <f ca="1">COUNTIF(C$7:C$40,"=娱乐")</f>
        <v>0</v>
      </c>
      <c r="D44">
        <f ca="1" t="shared" ref="D44:I44" si="36">COUNTIF(D$7:D$40,"=娱乐")</f>
        <v>0</v>
      </c>
      <c r="E44">
        <f ca="1" t="shared" si="36"/>
        <v>0</v>
      </c>
      <c r="F44">
        <f ca="1" t="shared" si="36"/>
        <v>0</v>
      </c>
      <c r="G44">
        <f ca="1" t="shared" si="36"/>
        <v>0</v>
      </c>
      <c r="H44">
        <f ca="1" t="shared" si="36"/>
        <v>0</v>
      </c>
      <c r="I44">
        <f ca="1" t="shared" si="36"/>
        <v>0</v>
      </c>
      <c r="J44">
        <f ca="1" t="shared" si="21"/>
        <v>0</v>
      </c>
      <c r="K44" s="9"/>
      <c r="L44">
        <f ca="1" t="shared" ref="L44:R44" si="37">COUNTIF(L$7:L$40,"=娱乐")</f>
        <v>0</v>
      </c>
      <c r="M44">
        <f ca="1" t="shared" si="37"/>
        <v>0</v>
      </c>
      <c r="N44">
        <f ca="1" t="shared" si="37"/>
        <v>0</v>
      </c>
      <c r="O44">
        <f ca="1" t="shared" si="37"/>
        <v>0</v>
      </c>
      <c r="P44">
        <f ca="1" t="shared" si="37"/>
        <v>0</v>
      </c>
      <c r="R44">
        <f ca="1" t="shared" si="37"/>
        <v>0</v>
      </c>
      <c r="S44">
        <f ca="1" t="shared" si="23"/>
        <v>0</v>
      </c>
      <c r="T44" s="9"/>
      <c r="U44">
        <f ca="1" t="shared" ref="U44:AA44" si="38">COUNTIF(U$7:U$40,"=娱乐")</f>
        <v>0</v>
      </c>
      <c r="V44">
        <f ca="1" t="shared" si="38"/>
        <v>0</v>
      </c>
      <c r="W44">
        <f ca="1" t="shared" si="38"/>
        <v>0</v>
      </c>
      <c r="X44">
        <f ca="1" t="shared" si="38"/>
        <v>0</v>
      </c>
      <c r="Y44">
        <f ca="1" t="shared" si="38"/>
        <v>0</v>
      </c>
      <c r="AA44">
        <f ca="1" t="shared" si="38"/>
        <v>0</v>
      </c>
      <c r="AB44">
        <f ca="1" t="shared" si="25"/>
        <v>0</v>
      </c>
      <c r="AC44" s="9"/>
      <c r="AD44">
        <f ca="1" t="shared" ref="AD44:AJ44" si="39">COUNTIF(AD$7:AD$40,"=娱乐")</f>
        <v>0</v>
      </c>
      <c r="AE44">
        <f ca="1" t="shared" si="39"/>
        <v>0</v>
      </c>
      <c r="AF44">
        <f ca="1" t="shared" si="39"/>
        <v>0</v>
      </c>
      <c r="AG44">
        <f ca="1" t="shared" si="39"/>
        <v>0</v>
      </c>
      <c r="AH44">
        <f ca="1" t="shared" si="39"/>
        <v>0</v>
      </c>
      <c r="AJ44">
        <f ca="1" t="shared" si="39"/>
        <v>0</v>
      </c>
      <c r="AK44">
        <f ca="1" t="shared" si="27"/>
        <v>0</v>
      </c>
      <c r="AL44" s="9"/>
      <c r="AM44">
        <f ca="1" t="shared" ref="AM44:AS44" si="40">COUNTIF(AM$7:AM$40,"=娱乐")</f>
        <v>0</v>
      </c>
      <c r="AN44">
        <f ca="1" t="shared" si="40"/>
        <v>0</v>
      </c>
      <c r="AO44">
        <f ca="1" t="shared" si="40"/>
        <v>0</v>
      </c>
      <c r="AP44">
        <f ca="1" t="shared" si="40"/>
        <v>0</v>
      </c>
      <c r="AQ44">
        <f ca="1" t="shared" si="40"/>
        <v>0</v>
      </c>
      <c r="AS44">
        <f ca="1" t="shared" si="40"/>
        <v>0</v>
      </c>
      <c r="AT44">
        <f ca="1" t="shared" si="29"/>
        <v>0</v>
      </c>
      <c r="AU44">
        <f ca="1" t="shared" si="30"/>
        <v>0</v>
      </c>
    </row>
    <row r="45" customHeight="1" spans="1:47">
      <c r="A45" s="7" t="s">
        <v>4</v>
      </c>
      <c r="B45" s="9"/>
      <c r="C45">
        <f ca="1">COUNTIF(C$7:C$40,"=休息")</f>
        <v>5</v>
      </c>
      <c r="D45">
        <f ca="1" t="shared" ref="D45:I45" si="41">COUNTIF(D$7:D$40,"=休息")</f>
        <v>4</v>
      </c>
      <c r="E45">
        <f ca="1" t="shared" si="41"/>
        <v>0</v>
      </c>
      <c r="F45">
        <f ca="1" t="shared" si="41"/>
        <v>0</v>
      </c>
      <c r="G45">
        <f ca="1" t="shared" si="41"/>
        <v>0</v>
      </c>
      <c r="H45">
        <f ca="1" t="shared" si="41"/>
        <v>0</v>
      </c>
      <c r="I45">
        <f ca="1" t="shared" si="41"/>
        <v>0</v>
      </c>
      <c r="J45">
        <f ca="1" t="shared" si="21"/>
        <v>9</v>
      </c>
      <c r="K45" s="9"/>
      <c r="L45">
        <f ca="1" t="shared" ref="L45:R45" si="42">COUNTIF(L$7:L$40,"=休息")</f>
        <v>0</v>
      </c>
      <c r="M45">
        <f ca="1" t="shared" si="42"/>
        <v>0</v>
      </c>
      <c r="N45">
        <f ca="1" t="shared" si="42"/>
        <v>0</v>
      </c>
      <c r="O45">
        <f ca="1" t="shared" si="42"/>
        <v>0</v>
      </c>
      <c r="P45">
        <f ca="1" t="shared" si="42"/>
        <v>0</v>
      </c>
      <c r="R45">
        <f ca="1" t="shared" si="42"/>
        <v>0</v>
      </c>
      <c r="S45">
        <f ca="1" t="shared" si="23"/>
        <v>0</v>
      </c>
      <c r="T45" s="9"/>
      <c r="U45">
        <f ca="1" t="shared" ref="U45:AA45" si="43">COUNTIF(U$7:U$40,"=休息")</f>
        <v>0</v>
      </c>
      <c r="V45">
        <f ca="1" t="shared" si="43"/>
        <v>0</v>
      </c>
      <c r="W45">
        <f ca="1" t="shared" si="43"/>
        <v>0</v>
      </c>
      <c r="X45">
        <f ca="1" t="shared" si="43"/>
        <v>0</v>
      </c>
      <c r="Y45">
        <f ca="1" t="shared" si="43"/>
        <v>0</v>
      </c>
      <c r="AA45">
        <f ca="1" t="shared" si="43"/>
        <v>0</v>
      </c>
      <c r="AB45">
        <f ca="1" t="shared" si="25"/>
        <v>0</v>
      </c>
      <c r="AC45" s="9"/>
      <c r="AD45">
        <f ca="1" t="shared" ref="AD45:AJ45" si="44">COUNTIF(AD$7:AD$40,"=休息")</f>
        <v>0</v>
      </c>
      <c r="AE45">
        <f ca="1" t="shared" si="44"/>
        <v>0</v>
      </c>
      <c r="AF45">
        <f ca="1" t="shared" si="44"/>
        <v>0</v>
      </c>
      <c r="AG45">
        <f ca="1" t="shared" si="44"/>
        <v>0</v>
      </c>
      <c r="AH45">
        <f ca="1" t="shared" si="44"/>
        <v>0</v>
      </c>
      <c r="AJ45">
        <f ca="1" t="shared" si="44"/>
        <v>0</v>
      </c>
      <c r="AK45">
        <f ca="1" t="shared" si="27"/>
        <v>0</v>
      </c>
      <c r="AL45" s="9"/>
      <c r="AM45">
        <f ca="1" t="shared" ref="AM45:AS45" si="45">COUNTIF(AM$7:AM$40,"=休息")</f>
        <v>0</v>
      </c>
      <c r="AN45">
        <f ca="1" t="shared" si="45"/>
        <v>0</v>
      </c>
      <c r="AO45">
        <f ca="1" t="shared" si="45"/>
        <v>0</v>
      </c>
      <c r="AP45">
        <f ca="1" t="shared" si="45"/>
        <v>0</v>
      </c>
      <c r="AQ45">
        <f ca="1" t="shared" si="45"/>
        <v>0</v>
      </c>
      <c r="AS45">
        <f ca="1" t="shared" si="45"/>
        <v>0</v>
      </c>
      <c r="AT45">
        <f ca="1" t="shared" si="29"/>
        <v>0</v>
      </c>
      <c r="AU45">
        <f ca="1" t="shared" si="30"/>
        <v>9</v>
      </c>
    </row>
  </sheetData>
  <mergeCells count="31">
    <mergeCell ref="B6:B45"/>
    <mergeCell ref="J9:J11"/>
    <mergeCell ref="J13:J22"/>
    <mergeCell ref="J25:J29"/>
    <mergeCell ref="J31:J36"/>
    <mergeCell ref="J38:J40"/>
    <mergeCell ref="K6:K45"/>
    <mergeCell ref="S9:S11"/>
    <mergeCell ref="S13:S22"/>
    <mergeCell ref="S25:S29"/>
    <mergeCell ref="S31:S36"/>
    <mergeCell ref="S38:S40"/>
    <mergeCell ref="T6:T45"/>
    <mergeCell ref="AB9:AB11"/>
    <mergeCell ref="AB13:AB22"/>
    <mergeCell ref="AB25:AB29"/>
    <mergeCell ref="AB31:AB36"/>
    <mergeCell ref="AB38:AB40"/>
    <mergeCell ref="AC6:AC45"/>
    <mergeCell ref="AK9:AK11"/>
    <mergeCell ref="AK13:AK22"/>
    <mergeCell ref="AK25:AK29"/>
    <mergeCell ref="AK31:AK36"/>
    <mergeCell ref="AK38:AK40"/>
    <mergeCell ref="AL6:AL45"/>
    <mergeCell ref="AT9:AT11"/>
    <mergeCell ref="AT13:AT22"/>
    <mergeCell ref="AT25:AT29"/>
    <mergeCell ref="AT31:AT36"/>
    <mergeCell ref="AT38:AT40"/>
    <mergeCell ref="AU6:AU40"/>
  </mergeCells>
  <conditionalFormatting sqref="U38">
    <cfRule type="cellIs" dxfId="4" priority="6" operator="equal">
      <formula>$A$5</formula>
    </cfRule>
    <cfRule type="cellIs" dxfId="3" priority="7" operator="equal">
      <formula>$A$4</formula>
    </cfRule>
    <cfRule type="cellIs" dxfId="2" priority="8" operator="equal">
      <formula>$A$2</formula>
    </cfRule>
    <cfRule type="cellIs" dxfId="1" priority="9" operator="equal">
      <formula>$A$3</formula>
    </cfRule>
    <cfRule type="cellIs" dxfId="0" priority="10" operator="equal">
      <formula>$A$1</formula>
    </cfRule>
  </conditionalFormatting>
  <conditionalFormatting sqref="U39:AA39">
    <cfRule type="cellIs" dxfId="4" priority="1" operator="equal">
      <formula>$A$5</formula>
    </cfRule>
    <cfRule type="cellIs" dxfId="3" priority="2" operator="equal">
      <formula>$A$4</formula>
    </cfRule>
    <cfRule type="cellIs" dxfId="2" priority="3" operator="equal">
      <formula>$A$2</formula>
    </cfRule>
    <cfRule type="cellIs" dxfId="1" priority="4" operator="equal">
      <formula>$A$3</formula>
    </cfRule>
    <cfRule type="cellIs" dxfId="0" priority="5" operator="equal">
      <formula>$A$1</formula>
    </cfRule>
  </conditionalFormatting>
  <conditionalFormatting sqref="U40:AA40">
    <cfRule type="cellIs" dxfId="4" priority="26" operator="equal">
      <formula>$A$5</formula>
    </cfRule>
    <cfRule type="cellIs" dxfId="3" priority="27" operator="equal">
      <formula>$A$4</formula>
    </cfRule>
    <cfRule type="cellIs" dxfId="2" priority="28" operator="equal">
      <formula>$A$2</formula>
    </cfRule>
    <cfRule type="cellIs" dxfId="1" priority="29" operator="equal">
      <formula>$A$3</formula>
    </cfRule>
    <cfRule type="cellIs" dxfId="0" priority="30" operator="equal">
      <formula>$A$1</formula>
    </cfRule>
  </conditionalFormatting>
  <conditionalFormatting sqref="C7:I40 V38:AA38 U7:AA37">
    <cfRule type="cellIs" dxfId="4" priority="36" operator="equal">
      <formula>$A$5</formula>
    </cfRule>
    <cfRule type="cellIs" dxfId="3" priority="37" operator="equal">
      <formula>$A$4</formula>
    </cfRule>
    <cfRule type="cellIs" dxfId="2" priority="38" operator="equal">
      <formula>$A$2</formula>
    </cfRule>
    <cfRule type="cellIs" dxfId="1" priority="39" operator="equal">
      <formula>$A$3</formula>
    </cfRule>
    <cfRule type="cellIs" dxfId="0" priority="40" operator="equal">
      <formula>$A$1</formula>
    </cfRule>
  </conditionalFormatting>
  <conditionalFormatting sqref="L7:R40">
    <cfRule type="cellIs" dxfId="4" priority="11" operator="equal">
      <formula>$A$5</formula>
    </cfRule>
    <cfRule type="cellIs" dxfId="3" priority="12" operator="equal">
      <formula>$A$4</formula>
    </cfRule>
    <cfRule type="cellIs" dxfId="2" priority="13" operator="equal">
      <formula>$A$2</formula>
    </cfRule>
    <cfRule type="cellIs" dxfId="1" priority="14" operator="equal">
      <formula>$A$3</formula>
    </cfRule>
    <cfRule type="cellIs" dxfId="0" priority="15" operator="equal">
      <formula>$A$1</formula>
    </cfRule>
  </conditionalFormatting>
  <conditionalFormatting sqref="AD7:AJ40">
    <cfRule type="cellIs" dxfId="4" priority="21" operator="equal">
      <formula>$A$5</formula>
    </cfRule>
    <cfRule type="cellIs" dxfId="3" priority="22" operator="equal">
      <formula>$A$4</formula>
    </cfRule>
    <cfRule type="cellIs" dxfId="2" priority="23" operator="equal">
      <formula>$A$2</formula>
    </cfRule>
    <cfRule type="cellIs" dxfId="1" priority="24" operator="equal">
      <formula>$A$3</formula>
    </cfRule>
    <cfRule type="cellIs" dxfId="0" priority="25" operator="equal">
      <formula>$A$1</formula>
    </cfRule>
  </conditionalFormatting>
  <conditionalFormatting sqref="AM7:AS40">
    <cfRule type="cellIs" dxfId="4" priority="16" operator="equal">
      <formula>$A$5</formula>
    </cfRule>
    <cfRule type="cellIs" dxfId="3" priority="17" operator="equal">
      <formula>$A$4</formula>
    </cfRule>
    <cfRule type="cellIs" dxfId="2" priority="18" operator="equal">
      <formula>$A$2</formula>
    </cfRule>
    <cfRule type="cellIs" dxfId="1" priority="19" operator="equal">
      <formula>$A$3</formula>
    </cfRule>
    <cfRule type="cellIs" dxfId="0" priority="20" operator="equal">
      <formula>$A$1</formula>
    </cfRule>
  </conditionalFormatting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时间管理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wanpu</dc:creator>
  <cp:lastModifiedBy>Ne-yo</cp:lastModifiedBy>
  <dcterms:created xsi:type="dcterms:W3CDTF">2015-10-27T12:42:00Z</dcterms:created>
  <dcterms:modified xsi:type="dcterms:W3CDTF">2020-05-24T01:53:57Z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2052-11.3.0.8775</vt:lpwstr>
  </property>
</Properties>
</file>